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WC2023 SD" sheetId="1" r:id="rId5"/>
  </sheets>
  <definedNames>
    <definedName hidden="1" localSheetId="0" name="_xlnm._FilterDatabase">'CWC2023 SD'!$A$1:$AV$49</definedName>
  </definedNames>
  <calcPr/>
</workbook>
</file>

<file path=xl/sharedStrings.xml><?xml version="1.0" encoding="utf-8"?>
<sst xmlns="http://schemas.openxmlformats.org/spreadsheetml/2006/main" count="697" uniqueCount="191">
  <si>
    <t>Match ID</t>
  </si>
  <si>
    <t>Match Date</t>
  </si>
  <si>
    <t>Match Time</t>
  </si>
  <si>
    <t>City</t>
  </si>
  <si>
    <t>Stadium</t>
  </si>
  <si>
    <t>Team A</t>
  </si>
  <si>
    <t>Team B</t>
  </si>
  <si>
    <t>Toss Winner</t>
  </si>
  <si>
    <t>Toss Decision</t>
  </si>
  <si>
    <t>Score A</t>
  </si>
  <si>
    <t>Wickets A</t>
  </si>
  <si>
    <t>Overs Played A</t>
  </si>
  <si>
    <t>Maiden Overs A</t>
  </si>
  <si>
    <t>4s A</t>
  </si>
  <si>
    <t>6s A</t>
  </si>
  <si>
    <t>Boundaries A</t>
  </si>
  <si>
    <t>Runrate A</t>
  </si>
  <si>
    <t>Leg Byes A</t>
  </si>
  <si>
    <t>Byes A</t>
  </si>
  <si>
    <t>Wides A</t>
  </si>
  <si>
    <t>No Balls A</t>
  </si>
  <si>
    <t>Penalty A</t>
  </si>
  <si>
    <t>Extras A</t>
  </si>
  <si>
    <t>Score B</t>
  </si>
  <si>
    <t>Wickets B</t>
  </si>
  <si>
    <t>Overs Played B</t>
  </si>
  <si>
    <t>Maiden Overs B</t>
  </si>
  <si>
    <t>4s B</t>
  </si>
  <si>
    <t>6s B</t>
  </si>
  <si>
    <t>Boundaries B</t>
  </si>
  <si>
    <t>Runrate B</t>
  </si>
  <si>
    <t>Leg Byes B</t>
  </si>
  <si>
    <t>Byes B</t>
  </si>
  <si>
    <t>Wides B</t>
  </si>
  <si>
    <t>No Balls B</t>
  </si>
  <si>
    <t>Penalty B</t>
  </si>
  <si>
    <t>Extras B</t>
  </si>
  <si>
    <t>Wining Team</t>
  </si>
  <si>
    <t>Margin</t>
  </si>
  <si>
    <t>Man of the Match</t>
  </si>
  <si>
    <t>Umpire 1</t>
  </si>
  <si>
    <t>Umpire 2</t>
  </si>
  <si>
    <t>TV Umpire</t>
  </si>
  <si>
    <t>Match Refree</t>
  </si>
  <si>
    <t>Total_runs</t>
  </si>
  <si>
    <t>Total Wicket</t>
  </si>
  <si>
    <t>Total 4s</t>
  </si>
  <si>
    <t>Total 6s</t>
  </si>
  <si>
    <t>Ahmedabad</t>
  </si>
  <si>
    <t>Narendra Modi Stadium</t>
  </si>
  <si>
    <t>England</t>
  </si>
  <si>
    <t>NewZealand</t>
  </si>
  <si>
    <t>Field</t>
  </si>
  <si>
    <t>9 Wickets</t>
  </si>
  <si>
    <t>Rachin Ravindra</t>
  </si>
  <si>
    <t>Kumar Dharmasena</t>
  </si>
  <si>
    <t>Nitin Menon</t>
  </si>
  <si>
    <t>Paul Wilson</t>
  </si>
  <si>
    <t>Javagal Srinath</t>
  </si>
  <si>
    <t>Hyderabad</t>
  </si>
  <si>
    <t>Eden Gardens</t>
  </si>
  <si>
    <t>Pakistan</t>
  </si>
  <si>
    <t>Netherlands</t>
  </si>
  <si>
    <t>81 Runs</t>
  </si>
  <si>
    <t>Saud Shakeel</t>
  </si>
  <si>
    <t>Adrian Holdstock</t>
  </si>
  <si>
    <t>Chris Brown</t>
  </si>
  <si>
    <t>Rod Tucker</t>
  </si>
  <si>
    <t>Jeff Crowe</t>
  </si>
  <si>
    <t>Dharamshala</t>
  </si>
  <si>
    <t>HPCA Stadium</t>
  </si>
  <si>
    <t>Afghanistan</t>
  </si>
  <si>
    <t>Bangladesh</t>
  </si>
  <si>
    <t>6 Wickets</t>
  </si>
  <si>
    <t>Mehidy Hasan Miraz</t>
  </si>
  <si>
    <t>Joel Wilson</t>
  </si>
  <si>
    <t>Ahsan Raza</t>
  </si>
  <si>
    <t>Andy Pycroft</t>
  </si>
  <si>
    <t>Delhi</t>
  </si>
  <si>
    <t>Arun Jaitley Stadium</t>
  </si>
  <si>
    <t>South Africa</t>
  </si>
  <si>
    <t>Sri Lanka</t>
  </si>
  <si>
    <t>102 Runs</t>
  </si>
  <si>
    <t>Aiden Markram</t>
  </si>
  <si>
    <t>Richard Illingworth</t>
  </si>
  <si>
    <t>Sharfuddoula</t>
  </si>
  <si>
    <t>Michael Gough</t>
  </si>
  <si>
    <t>Chennai</t>
  </si>
  <si>
    <t>M. A. Chidambaram Stadium</t>
  </si>
  <si>
    <t>Australia</t>
  </si>
  <si>
    <t>India</t>
  </si>
  <si>
    <t>Bat</t>
  </si>
  <si>
    <t>6 wickets</t>
  </si>
  <si>
    <t>KL Rahul</t>
  </si>
  <si>
    <t>Chris Gaffaney</t>
  </si>
  <si>
    <t>Richard Kettleborough</t>
  </si>
  <si>
    <t>Richie Richardson</t>
  </si>
  <si>
    <t>Rajiv Gandhi International Stadium</t>
  </si>
  <si>
    <t>99 Runs</t>
  </si>
  <si>
    <t>Mitchell Santner</t>
  </si>
  <si>
    <t>Paul Reiffel</t>
  </si>
  <si>
    <t>137 Runs</t>
  </si>
  <si>
    <t>Dawid Malan</t>
  </si>
  <si>
    <t>Mohammad Rizwan</t>
  </si>
  <si>
    <t>Alex Wharf</t>
  </si>
  <si>
    <t>8 Wickets</t>
  </si>
  <si>
    <t>Rohit Sharma</t>
  </si>
  <si>
    <t>Marais Erasmus</t>
  </si>
  <si>
    <t>Lucknow</t>
  </si>
  <si>
    <t>BRSABV Ekana Cricket Stadium</t>
  </si>
  <si>
    <t>134 Runs</t>
  </si>
  <si>
    <t>Quinton de Kock</t>
  </si>
  <si>
    <t>13-10-2023</t>
  </si>
  <si>
    <t>Lockie Ferguson</t>
  </si>
  <si>
    <t>14-10-2023</t>
  </si>
  <si>
    <t>7 Wickets</t>
  </si>
  <si>
    <t>Jasprit Bumrah</t>
  </si>
  <si>
    <t>15-10-2023</t>
  </si>
  <si>
    <t>69 Runs</t>
  </si>
  <si>
    <t>Mujeeb Ur Rahman</t>
  </si>
  <si>
    <t>16-10-2023</t>
  </si>
  <si>
    <t>5 Wickets</t>
  </si>
  <si>
    <t>Adam Zampa</t>
  </si>
  <si>
    <t>17-10-2023</t>
  </si>
  <si>
    <t>38 Runs</t>
  </si>
  <si>
    <t>Scott Edwards</t>
  </si>
  <si>
    <t>18-10-2023</t>
  </si>
  <si>
    <t>149 Runs</t>
  </si>
  <si>
    <t>Glenn Phillips</t>
  </si>
  <si>
    <t>19-10-2023</t>
  </si>
  <si>
    <t>Pune</t>
  </si>
  <si>
    <t>Maharashtra Cricket Association Stadium</t>
  </si>
  <si>
    <t>Virat Kohli</t>
  </si>
  <si>
    <t>20-10-2023</t>
  </si>
  <si>
    <t>Bangalore</t>
  </si>
  <si>
    <t>M. Chinnaswamy Stadium</t>
  </si>
  <si>
    <t>62 Runs</t>
  </si>
  <si>
    <t>David Warner</t>
  </si>
  <si>
    <t>21-10-2023</t>
  </si>
  <si>
    <t>Sadeera Samarawickrama</t>
  </si>
  <si>
    <t>Mumbai</t>
  </si>
  <si>
    <t>Wankhede Stadium</t>
  </si>
  <si>
    <t>229 Runs</t>
  </si>
  <si>
    <t>Heinrich Klaasen</t>
  </si>
  <si>
    <t>22-10-2023</t>
  </si>
  <si>
    <t>4 Wickets</t>
  </si>
  <si>
    <t>Mohammed Shami</t>
  </si>
  <si>
    <t>23-10-2023</t>
  </si>
  <si>
    <t>Ibrahim Zadran</t>
  </si>
  <si>
    <t>24-10-2023</t>
  </si>
  <si>
    <t>25-10-2023</t>
  </si>
  <si>
    <t>309 Runs</t>
  </si>
  <si>
    <t>Glenn Maxwell</t>
  </si>
  <si>
    <t>26-10-2023</t>
  </si>
  <si>
    <t>Lahiru Kumara</t>
  </si>
  <si>
    <t>27-10-2023</t>
  </si>
  <si>
    <t>1 Wicket</t>
  </si>
  <si>
    <t>Tabraiz Shamsi</t>
  </si>
  <si>
    <t>28-10-2023</t>
  </si>
  <si>
    <t>5 Runs</t>
  </si>
  <si>
    <t>Travis Head</t>
  </si>
  <si>
    <t>Kolkata</t>
  </si>
  <si>
    <t>87 Runs</t>
  </si>
  <si>
    <t>Paul van Meekeren</t>
  </si>
  <si>
    <t>29-10-2023</t>
  </si>
  <si>
    <t>100 Runs</t>
  </si>
  <si>
    <t>30-10-2023</t>
  </si>
  <si>
    <t>Fazalhaq Farooqi</t>
  </si>
  <si>
    <t>31-11-2023</t>
  </si>
  <si>
    <t>Fakhar Zaman</t>
  </si>
  <si>
    <t>190 Runs</t>
  </si>
  <si>
    <t>Rassie van der Dussen</t>
  </si>
  <si>
    <t>302 Runs</t>
  </si>
  <si>
    <t>Mohammad Nabi</t>
  </si>
  <si>
    <t>21 Runs DLS Method</t>
  </si>
  <si>
    <t>33 Runs</t>
  </si>
  <si>
    <t>243 Runs</t>
  </si>
  <si>
    <t>3 Wickets</t>
  </si>
  <si>
    <t>Shakib Al Hasan</t>
  </si>
  <si>
    <t>160 Runs</t>
  </si>
  <si>
    <t>Ben Stokes</t>
  </si>
  <si>
    <t>Trent Boult</t>
  </si>
  <si>
    <t>5,20</t>
  </si>
  <si>
    <t>Mitchell Marsh</t>
  </si>
  <si>
    <t>93 Runs</t>
  </si>
  <si>
    <t>David Willey</t>
  </si>
  <si>
    <t>Shreyas Iyer</t>
  </si>
  <si>
    <t>15-11-2023</t>
  </si>
  <si>
    <t>70 Runs</t>
  </si>
  <si>
    <t>16-11-2023</t>
  </si>
  <si>
    <t>19-11-2023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</si>
</sst>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h:mm am/pm"/>
    <numFmt numFmtId="166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>
        <v>1.0</v>
      </c>
      <c r="B2" s="2">
        <v>45056.0</v>
      </c>
      <c r="C2" s="3">
        <v>0.5833333333333334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51</v>
      </c>
      <c r="I2" s="1" t="s">
        <v>52</v>
      </c>
      <c r="J2" s="1">
        <v>282.0</v>
      </c>
      <c r="K2" s="1">
        <v>9.0</v>
      </c>
      <c r="L2" s="1">
        <v>50.0</v>
      </c>
      <c r="M2" s="1">
        <v>2.0</v>
      </c>
      <c r="N2" s="1">
        <v>21.0</v>
      </c>
      <c r="O2" s="1">
        <v>6.0</v>
      </c>
      <c r="P2" s="1">
        <v>27.0</v>
      </c>
      <c r="Q2" s="1">
        <v>5.64</v>
      </c>
      <c r="R2" s="1">
        <v>1.0</v>
      </c>
      <c r="S2" s="1">
        <v>4.0</v>
      </c>
      <c r="T2" s="1">
        <v>3.0</v>
      </c>
      <c r="U2" s="1">
        <v>0.0</v>
      </c>
      <c r="V2" s="1">
        <v>0.0</v>
      </c>
      <c r="W2" s="1">
        <v>8.0</v>
      </c>
      <c r="X2" s="1">
        <v>283.0</v>
      </c>
      <c r="Y2" s="1">
        <v>1.0</v>
      </c>
      <c r="Z2" s="1">
        <v>36.2</v>
      </c>
      <c r="AA2" s="1">
        <v>2.0</v>
      </c>
      <c r="AB2" s="1">
        <v>30.0</v>
      </c>
      <c r="AC2" s="1">
        <v>8.0</v>
      </c>
      <c r="AD2" s="1">
        <v>38.0</v>
      </c>
      <c r="AE2" s="1">
        <v>7.78</v>
      </c>
      <c r="AF2" s="1">
        <v>0.0</v>
      </c>
      <c r="AG2" s="1">
        <v>0.0</v>
      </c>
      <c r="AH2" s="1">
        <v>6.0</v>
      </c>
      <c r="AI2" s="1">
        <v>0.0</v>
      </c>
      <c r="AJ2" s="1">
        <v>0.0</v>
      </c>
      <c r="AK2" s="1">
        <v>6.0</v>
      </c>
      <c r="AL2" s="1" t="s">
        <v>51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>
        <f t="shared" ref="AS2:AT2" si="1">J2 + X2</f>
        <v>565</v>
      </c>
      <c r="AT2" s="4">
        <f t="shared" si="1"/>
        <v>10</v>
      </c>
      <c r="AU2" s="4">
        <f t="shared" ref="AU2:AV2" si="2">N2 + AB2</f>
        <v>51</v>
      </c>
      <c r="AV2" s="4">
        <f t="shared" si="2"/>
        <v>14</v>
      </c>
    </row>
    <row r="3">
      <c r="A3" s="1">
        <v>2.0</v>
      </c>
      <c r="B3" s="2">
        <v>45087.0</v>
      </c>
      <c r="C3" s="3">
        <v>0.5833333333333334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62</v>
      </c>
      <c r="I3" s="1" t="s">
        <v>52</v>
      </c>
      <c r="J3" s="1">
        <v>286.0</v>
      </c>
      <c r="K3" s="1">
        <v>10.0</v>
      </c>
      <c r="L3" s="1">
        <v>49.0</v>
      </c>
      <c r="M3" s="1">
        <v>1.0</v>
      </c>
      <c r="N3" s="1">
        <v>33.0</v>
      </c>
      <c r="O3" s="1">
        <v>3.0</v>
      </c>
      <c r="P3" s="1">
        <v>36.0</v>
      </c>
      <c r="Q3" s="1">
        <v>5.83</v>
      </c>
      <c r="R3" s="1">
        <v>0.0</v>
      </c>
      <c r="S3" s="1">
        <v>0.0</v>
      </c>
      <c r="T3" s="1">
        <v>9.0</v>
      </c>
      <c r="U3" s="1">
        <v>0.0</v>
      </c>
      <c r="V3" s="1">
        <v>0.0</v>
      </c>
      <c r="W3" s="1">
        <v>9.0</v>
      </c>
      <c r="X3" s="1">
        <v>205.0</v>
      </c>
      <c r="Y3" s="1">
        <v>10.0</v>
      </c>
      <c r="Z3" s="1">
        <v>41.0</v>
      </c>
      <c r="AA3" s="1">
        <v>1.0</v>
      </c>
      <c r="AB3" s="1">
        <v>20.0</v>
      </c>
      <c r="AC3" s="1">
        <v>4.0</v>
      </c>
      <c r="AD3" s="1">
        <v>24.0</v>
      </c>
      <c r="AE3" s="1">
        <v>5.0</v>
      </c>
      <c r="AF3" s="1">
        <v>0.0</v>
      </c>
      <c r="AG3" s="1">
        <v>0.0</v>
      </c>
      <c r="AH3" s="1">
        <v>8.0</v>
      </c>
      <c r="AI3" s="1">
        <v>1.0</v>
      </c>
      <c r="AJ3" s="1">
        <v>0.0</v>
      </c>
      <c r="AK3" s="1">
        <v>9.0</v>
      </c>
      <c r="AL3" s="1" t="s">
        <v>61</v>
      </c>
      <c r="AM3" s="1" t="s">
        <v>63</v>
      </c>
      <c r="AN3" s="1" t="s">
        <v>64</v>
      </c>
      <c r="AO3" s="1" t="s">
        <v>65</v>
      </c>
      <c r="AP3" s="1" t="s">
        <v>66</v>
      </c>
      <c r="AQ3" s="1" t="s">
        <v>67</v>
      </c>
      <c r="AR3" s="1" t="s">
        <v>68</v>
      </c>
      <c r="AS3" s="1">
        <f t="shared" ref="AS3:AT3" si="3">J3 + X3</f>
        <v>491</v>
      </c>
      <c r="AT3" s="4">
        <f t="shared" si="3"/>
        <v>20</v>
      </c>
      <c r="AU3" s="4">
        <f t="shared" ref="AU3:AV3" si="4">N3 + AB3</f>
        <v>53</v>
      </c>
      <c r="AV3" s="4">
        <f t="shared" si="4"/>
        <v>7</v>
      </c>
    </row>
    <row r="4">
      <c r="A4" s="1">
        <v>3.0</v>
      </c>
      <c r="B4" s="2">
        <v>45117.0</v>
      </c>
      <c r="C4" s="3">
        <v>0.5833333333333334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72</v>
      </c>
      <c r="I4" s="1" t="s">
        <v>52</v>
      </c>
      <c r="J4" s="1">
        <v>156.0</v>
      </c>
      <c r="K4" s="1">
        <v>10.0</v>
      </c>
      <c r="L4" s="1">
        <v>37.2</v>
      </c>
      <c r="M4" s="1">
        <v>1.0</v>
      </c>
      <c r="N4" s="1">
        <v>15.0</v>
      </c>
      <c r="O4" s="1">
        <v>2.0</v>
      </c>
      <c r="P4" s="1">
        <v>17.0</v>
      </c>
      <c r="Q4" s="1">
        <v>4.17</v>
      </c>
      <c r="R4" s="1">
        <v>3.0</v>
      </c>
      <c r="S4" s="1">
        <v>0.0</v>
      </c>
      <c r="T4" s="1">
        <v>4.0</v>
      </c>
      <c r="U4" s="1">
        <v>1.0</v>
      </c>
      <c r="V4" s="1">
        <v>0.0</v>
      </c>
      <c r="W4" s="1">
        <v>8.0</v>
      </c>
      <c r="X4" s="1">
        <v>158.0</v>
      </c>
      <c r="Y4" s="1">
        <v>4.0</v>
      </c>
      <c r="Z4" s="1">
        <v>34.4</v>
      </c>
      <c r="AA4" s="1">
        <v>5.0</v>
      </c>
      <c r="AB4" s="1">
        <v>13.0</v>
      </c>
      <c r="AC4" s="1">
        <v>1.0</v>
      </c>
      <c r="AD4" s="1">
        <v>14.0</v>
      </c>
      <c r="AE4" s="1">
        <v>4.55</v>
      </c>
      <c r="AF4" s="1">
        <v>0.0</v>
      </c>
      <c r="AG4" s="1">
        <v>0.0</v>
      </c>
      <c r="AH4" s="1">
        <v>8.0</v>
      </c>
      <c r="AI4" s="1">
        <v>0.0</v>
      </c>
      <c r="AJ4" s="1">
        <v>0.0</v>
      </c>
      <c r="AK4" s="1">
        <v>8.0</v>
      </c>
      <c r="AL4" s="1" t="s">
        <v>72</v>
      </c>
      <c r="AM4" s="1" t="s">
        <v>73</v>
      </c>
      <c r="AN4" s="1" t="s">
        <v>74</v>
      </c>
      <c r="AO4" s="1" t="s">
        <v>75</v>
      </c>
      <c r="AP4" s="1" t="s">
        <v>55</v>
      </c>
      <c r="AQ4" s="1" t="s">
        <v>76</v>
      </c>
      <c r="AR4" s="1" t="s">
        <v>77</v>
      </c>
      <c r="AS4" s="1">
        <f t="shared" ref="AS4:AT4" si="5">J4 + X4</f>
        <v>314</v>
      </c>
      <c r="AT4" s="4">
        <f t="shared" si="5"/>
        <v>14</v>
      </c>
      <c r="AU4" s="4">
        <f t="shared" ref="AU4:AV4" si="6">N4 + AB4</f>
        <v>28</v>
      </c>
      <c r="AV4" s="4">
        <f t="shared" si="6"/>
        <v>3</v>
      </c>
    </row>
    <row r="5">
      <c r="A5" s="1">
        <v>4.0</v>
      </c>
      <c r="B5" s="2">
        <v>45117.0</v>
      </c>
      <c r="C5" s="3">
        <v>0.5833333333333334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81</v>
      </c>
      <c r="I5" s="1" t="s">
        <v>52</v>
      </c>
      <c r="J5" s="1">
        <v>428.0</v>
      </c>
      <c r="K5" s="1">
        <v>5.0</v>
      </c>
      <c r="L5" s="1">
        <v>50.0</v>
      </c>
      <c r="M5" s="1">
        <v>1.0</v>
      </c>
      <c r="N5" s="1">
        <v>45.0</v>
      </c>
      <c r="O5" s="1">
        <v>14.0</v>
      </c>
      <c r="P5" s="1">
        <v>59.0</v>
      </c>
      <c r="Q5" s="1">
        <v>8.56</v>
      </c>
      <c r="R5" s="1">
        <v>5.0</v>
      </c>
      <c r="S5" s="1">
        <v>0.0</v>
      </c>
      <c r="T5" s="1">
        <v>14.0</v>
      </c>
      <c r="U5" s="1">
        <v>1.0</v>
      </c>
      <c r="V5" s="1">
        <v>0.0</v>
      </c>
      <c r="W5" s="1">
        <v>20.0</v>
      </c>
      <c r="X5" s="1">
        <v>326.0</v>
      </c>
      <c r="Y5" s="1">
        <v>10.0</v>
      </c>
      <c r="Z5" s="1">
        <v>44.5</v>
      </c>
      <c r="AA5" s="1">
        <v>1.0</v>
      </c>
      <c r="AB5" s="1">
        <v>31.0</v>
      </c>
      <c r="AC5" s="1">
        <v>17.0</v>
      </c>
      <c r="AD5" s="1">
        <v>48.0</v>
      </c>
      <c r="AE5" s="1">
        <v>7.27</v>
      </c>
      <c r="AF5" s="1">
        <v>1.0</v>
      </c>
      <c r="AG5" s="1">
        <v>0.0</v>
      </c>
      <c r="AH5" s="1">
        <v>21.0</v>
      </c>
      <c r="AI5" s="1">
        <v>1.0</v>
      </c>
      <c r="AJ5" s="1">
        <v>0.0</v>
      </c>
      <c r="AK5" s="1">
        <v>23.0</v>
      </c>
      <c r="AL5" s="1" t="s">
        <v>80</v>
      </c>
      <c r="AM5" s="1" t="s">
        <v>82</v>
      </c>
      <c r="AN5" s="1" t="s">
        <v>83</v>
      </c>
      <c r="AO5" s="1" t="s">
        <v>84</v>
      </c>
      <c r="AP5" s="1" t="s">
        <v>85</v>
      </c>
      <c r="AQ5" s="1" t="s">
        <v>86</v>
      </c>
      <c r="AR5" s="1" t="s">
        <v>58</v>
      </c>
      <c r="AS5" s="1">
        <f t="shared" ref="AS5:AT5" si="7">J5 + X5</f>
        <v>754</v>
      </c>
      <c r="AT5" s="4">
        <f t="shared" si="7"/>
        <v>15</v>
      </c>
      <c r="AU5" s="4">
        <f t="shared" ref="AU5:AV5" si="8">N5 + AB5</f>
        <v>76</v>
      </c>
      <c r="AV5" s="4">
        <f t="shared" si="8"/>
        <v>31</v>
      </c>
    </row>
    <row r="6">
      <c r="A6" s="1">
        <v>5.0</v>
      </c>
      <c r="B6" s="2">
        <v>45148.0</v>
      </c>
      <c r="C6" s="3">
        <v>0.5833333333333334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89</v>
      </c>
      <c r="I6" s="1" t="s">
        <v>91</v>
      </c>
      <c r="J6" s="1">
        <v>199.0</v>
      </c>
      <c r="K6" s="1">
        <v>10.0</v>
      </c>
      <c r="L6" s="1">
        <v>49.3</v>
      </c>
      <c r="M6" s="1">
        <v>1.0</v>
      </c>
      <c r="N6" s="1">
        <v>16.0</v>
      </c>
      <c r="O6" s="1">
        <v>2.0</v>
      </c>
      <c r="P6" s="1">
        <v>18.0</v>
      </c>
      <c r="Q6" s="1">
        <v>4.02</v>
      </c>
      <c r="R6" s="1">
        <v>1.0</v>
      </c>
      <c r="S6" s="1">
        <v>1.0</v>
      </c>
      <c r="T6" s="1">
        <v>5.0</v>
      </c>
      <c r="U6" s="1">
        <v>1.0</v>
      </c>
      <c r="V6" s="1">
        <v>0.0</v>
      </c>
      <c r="W6" s="1">
        <v>8.0</v>
      </c>
      <c r="X6" s="1">
        <v>201.0</v>
      </c>
      <c r="Y6" s="1">
        <v>4.0</v>
      </c>
      <c r="Z6" s="1">
        <v>41.2</v>
      </c>
      <c r="AA6" s="1">
        <v>4.0</v>
      </c>
      <c r="AB6" s="1">
        <v>14.0</v>
      </c>
      <c r="AC6" s="1">
        <v>3.0</v>
      </c>
      <c r="AD6" s="1">
        <v>17.0</v>
      </c>
      <c r="AE6" s="1">
        <v>4.86</v>
      </c>
      <c r="AF6" s="1">
        <v>6.0</v>
      </c>
      <c r="AG6" s="1">
        <v>0.0</v>
      </c>
      <c r="AH6" s="1">
        <v>6.0</v>
      </c>
      <c r="AI6" s="1">
        <v>0.0</v>
      </c>
      <c r="AJ6" s="1">
        <v>0.0</v>
      </c>
      <c r="AK6" s="1">
        <v>12.0</v>
      </c>
      <c r="AL6" s="1" t="s">
        <v>90</v>
      </c>
      <c r="AM6" s="1" t="s">
        <v>92</v>
      </c>
      <c r="AN6" s="1" t="s">
        <v>93</v>
      </c>
      <c r="AO6" s="1" t="s">
        <v>94</v>
      </c>
      <c r="AP6" s="1" t="s">
        <v>95</v>
      </c>
      <c r="AQ6" s="1" t="s">
        <v>66</v>
      </c>
      <c r="AR6" s="1" t="s">
        <v>96</v>
      </c>
      <c r="AS6" s="1">
        <f t="shared" ref="AS6:AT6" si="9">J6 + X6</f>
        <v>400</v>
      </c>
      <c r="AT6" s="4">
        <f t="shared" si="9"/>
        <v>14</v>
      </c>
      <c r="AU6" s="4">
        <f t="shared" ref="AU6:AV6" si="10">N6 + AB6</f>
        <v>30</v>
      </c>
      <c r="AV6" s="4">
        <f t="shared" si="10"/>
        <v>5</v>
      </c>
    </row>
    <row r="7">
      <c r="A7" s="1">
        <v>6.0</v>
      </c>
      <c r="B7" s="2">
        <v>45179.0</v>
      </c>
      <c r="C7" s="3">
        <v>0.5833333333333334</v>
      </c>
      <c r="D7" s="1" t="s">
        <v>59</v>
      </c>
      <c r="E7" s="1" t="s">
        <v>97</v>
      </c>
      <c r="F7" s="1" t="s">
        <v>51</v>
      </c>
      <c r="G7" s="1" t="s">
        <v>62</v>
      </c>
      <c r="H7" s="1" t="s">
        <v>62</v>
      </c>
      <c r="I7" s="1" t="s">
        <v>52</v>
      </c>
      <c r="J7" s="1">
        <v>322.0</v>
      </c>
      <c r="K7" s="1">
        <v>7.0</v>
      </c>
      <c r="L7" s="1">
        <v>50.0</v>
      </c>
      <c r="M7" s="1">
        <v>0.0</v>
      </c>
      <c r="N7" s="1">
        <v>30.0</v>
      </c>
      <c r="O7" s="1">
        <v>10.0</v>
      </c>
      <c r="P7" s="1">
        <v>40.0</v>
      </c>
      <c r="Q7" s="1">
        <v>6.44</v>
      </c>
      <c r="R7" s="1">
        <v>1.0</v>
      </c>
      <c r="S7" s="1">
        <v>0.0</v>
      </c>
      <c r="T7" s="1">
        <v>2.0</v>
      </c>
      <c r="U7" s="1">
        <v>1.0</v>
      </c>
      <c r="V7" s="1">
        <v>0.0</v>
      </c>
      <c r="W7" s="1">
        <v>4.0</v>
      </c>
      <c r="X7" s="1">
        <v>223.0</v>
      </c>
      <c r="Y7" s="1">
        <v>10.0</v>
      </c>
      <c r="Z7" s="1">
        <v>46.3</v>
      </c>
      <c r="AA7" s="1">
        <v>3.0</v>
      </c>
      <c r="AB7" s="1">
        <v>19.0</v>
      </c>
      <c r="AC7" s="1">
        <v>3.0</v>
      </c>
      <c r="AD7" s="1">
        <v>22.0</v>
      </c>
      <c r="AE7" s="1">
        <v>4.79</v>
      </c>
      <c r="AF7" s="1">
        <v>3.0</v>
      </c>
      <c r="AG7" s="1">
        <v>0.0</v>
      </c>
      <c r="AH7" s="1">
        <v>8.0</v>
      </c>
      <c r="AI7" s="1">
        <v>2.0</v>
      </c>
      <c r="AJ7" s="1">
        <v>0.0</v>
      </c>
      <c r="AK7" s="1">
        <v>13.0</v>
      </c>
      <c r="AL7" s="1" t="s">
        <v>51</v>
      </c>
      <c r="AM7" s="1" t="s">
        <v>98</v>
      </c>
      <c r="AN7" s="1" t="s">
        <v>99</v>
      </c>
      <c r="AO7" s="1" t="s">
        <v>100</v>
      </c>
      <c r="AP7" s="1" t="s">
        <v>67</v>
      </c>
      <c r="AQ7" s="1" t="s">
        <v>75</v>
      </c>
      <c r="AR7" s="1" t="s">
        <v>77</v>
      </c>
      <c r="AS7" s="1">
        <f t="shared" ref="AS7:AT7" si="11">J7 + X7</f>
        <v>545</v>
      </c>
      <c r="AT7" s="4">
        <f t="shared" si="11"/>
        <v>17</v>
      </c>
      <c r="AU7" s="4">
        <f t="shared" ref="AU7:AV7" si="12">N7 + AB7</f>
        <v>49</v>
      </c>
      <c r="AV7" s="4">
        <f t="shared" si="12"/>
        <v>13</v>
      </c>
    </row>
    <row r="8">
      <c r="A8" s="1">
        <v>7.0</v>
      </c>
      <c r="B8" s="5">
        <v>45209.0</v>
      </c>
      <c r="C8" s="3">
        <v>0.4375</v>
      </c>
      <c r="D8" s="1" t="s">
        <v>69</v>
      </c>
      <c r="E8" s="1" t="s">
        <v>70</v>
      </c>
      <c r="F8" s="1" t="s">
        <v>50</v>
      </c>
      <c r="G8" s="1" t="s">
        <v>72</v>
      </c>
      <c r="H8" s="1" t="s">
        <v>72</v>
      </c>
      <c r="I8" s="1" t="s">
        <v>52</v>
      </c>
      <c r="J8" s="1">
        <v>364.0</v>
      </c>
      <c r="K8" s="1">
        <v>9.0</v>
      </c>
      <c r="L8" s="1">
        <v>50.0</v>
      </c>
      <c r="M8" s="1">
        <v>1.0</v>
      </c>
      <c r="N8" s="1">
        <v>41.0</v>
      </c>
      <c r="O8" s="1">
        <v>7.0</v>
      </c>
      <c r="P8" s="1">
        <v>48.0</v>
      </c>
      <c r="Q8" s="1">
        <v>7.28</v>
      </c>
      <c r="R8" s="1">
        <v>4.0</v>
      </c>
      <c r="S8" s="1">
        <v>0.0</v>
      </c>
      <c r="T8" s="1">
        <v>3.0</v>
      </c>
      <c r="U8" s="1">
        <v>0.0</v>
      </c>
      <c r="V8" s="1">
        <v>0.0</v>
      </c>
      <c r="W8" s="1">
        <v>7.0</v>
      </c>
      <c r="X8" s="1">
        <v>227.0</v>
      </c>
      <c r="Y8" s="1">
        <v>10.0</v>
      </c>
      <c r="Z8" s="1">
        <v>48.2</v>
      </c>
      <c r="AA8" s="1">
        <v>0.0</v>
      </c>
      <c r="AB8" s="1">
        <v>17.0</v>
      </c>
      <c r="AC8" s="1">
        <v>3.0</v>
      </c>
      <c r="AD8" s="1">
        <v>20.0</v>
      </c>
      <c r="AE8" s="1">
        <v>4.69</v>
      </c>
      <c r="AF8" s="1">
        <v>2.0</v>
      </c>
      <c r="AG8" s="1">
        <v>1.0</v>
      </c>
      <c r="AH8" s="1">
        <v>4.0</v>
      </c>
      <c r="AI8" s="1">
        <v>0.0</v>
      </c>
      <c r="AJ8" s="1">
        <v>0.0</v>
      </c>
      <c r="AK8" s="1">
        <v>7.0</v>
      </c>
      <c r="AL8" s="1" t="s">
        <v>50</v>
      </c>
      <c r="AM8" s="1" t="s">
        <v>101</v>
      </c>
      <c r="AN8" s="1" t="s">
        <v>102</v>
      </c>
      <c r="AO8" s="1" t="s">
        <v>76</v>
      </c>
      <c r="AP8" s="1" t="s">
        <v>57</v>
      </c>
      <c r="AQ8" s="1" t="s">
        <v>65</v>
      </c>
      <c r="AR8" s="1" t="s">
        <v>58</v>
      </c>
      <c r="AS8" s="1">
        <f t="shared" ref="AS8:AT8" si="13">J8 + X8</f>
        <v>591</v>
      </c>
      <c r="AT8" s="4">
        <f t="shared" si="13"/>
        <v>19</v>
      </c>
      <c r="AU8" s="4">
        <f t="shared" ref="AU8:AV8" si="14">N8 + AB8</f>
        <v>58</v>
      </c>
      <c r="AV8" s="4">
        <f t="shared" si="14"/>
        <v>10</v>
      </c>
    </row>
    <row r="9">
      <c r="A9" s="1">
        <v>8.0</v>
      </c>
      <c r="B9" s="5">
        <v>45209.0</v>
      </c>
      <c r="C9" s="3">
        <v>0.5833333333333334</v>
      </c>
      <c r="D9" s="1" t="s">
        <v>59</v>
      </c>
      <c r="E9" s="1" t="s">
        <v>97</v>
      </c>
      <c r="F9" s="1" t="s">
        <v>81</v>
      </c>
      <c r="G9" s="1" t="s">
        <v>61</v>
      </c>
      <c r="H9" s="1" t="s">
        <v>81</v>
      </c>
      <c r="I9" s="1" t="s">
        <v>91</v>
      </c>
      <c r="J9" s="1">
        <v>344.0</v>
      </c>
      <c r="K9" s="1">
        <v>9.0</v>
      </c>
      <c r="L9" s="1">
        <v>50.0</v>
      </c>
      <c r="M9" s="1">
        <v>0.0</v>
      </c>
      <c r="N9" s="1">
        <v>36.0</v>
      </c>
      <c r="O9" s="1">
        <v>9.0</v>
      </c>
      <c r="P9" s="1">
        <v>45.0</v>
      </c>
      <c r="Q9" s="1">
        <v>6.88</v>
      </c>
      <c r="R9" s="1">
        <v>0.0</v>
      </c>
      <c r="S9" s="1">
        <v>0.0</v>
      </c>
      <c r="T9" s="1">
        <v>25.0</v>
      </c>
      <c r="U9" s="1">
        <v>1.0</v>
      </c>
      <c r="V9" s="1">
        <v>0.0</v>
      </c>
      <c r="W9" s="1">
        <v>26.0</v>
      </c>
      <c r="X9" s="1">
        <v>345.0</v>
      </c>
      <c r="Y9" s="1">
        <v>4.0</v>
      </c>
      <c r="Z9" s="1">
        <v>48.2</v>
      </c>
      <c r="AA9" s="1">
        <v>0.0</v>
      </c>
      <c r="AB9" s="1">
        <v>26.0</v>
      </c>
      <c r="AC9" s="1">
        <v>6.0</v>
      </c>
      <c r="AD9" s="1">
        <v>32.0</v>
      </c>
      <c r="AE9" s="1">
        <v>7.13</v>
      </c>
      <c r="AF9" s="1">
        <v>2.0</v>
      </c>
      <c r="AG9" s="1">
        <v>2.0</v>
      </c>
      <c r="AH9" s="1">
        <v>9.0</v>
      </c>
      <c r="AI9" s="1">
        <v>1.0</v>
      </c>
      <c r="AJ9" s="1">
        <v>0.0</v>
      </c>
      <c r="AK9" s="1">
        <v>14.0</v>
      </c>
      <c r="AL9" s="1" t="s">
        <v>61</v>
      </c>
      <c r="AM9" s="1" t="s">
        <v>73</v>
      </c>
      <c r="AN9" s="1" t="s">
        <v>103</v>
      </c>
      <c r="AO9" s="1" t="s">
        <v>94</v>
      </c>
      <c r="AP9" s="1" t="s">
        <v>104</v>
      </c>
      <c r="AQ9" s="1" t="s">
        <v>56</v>
      </c>
      <c r="AR9" s="1" t="s">
        <v>77</v>
      </c>
      <c r="AS9" s="1">
        <f t="shared" ref="AS9:AT9" si="15">J9 + X9</f>
        <v>689</v>
      </c>
      <c r="AT9" s="4">
        <f t="shared" si="15"/>
        <v>13</v>
      </c>
      <c r="AU9" s="4">
        <f t="shared" ref="AU9:AV9" si="16">N9 + AB9</f>
        <v>62</v>
      </c>
      <c r="AV9" s="4">
        <f t="shared" si="16"/>
        <v>15</v>
      </c>
    </row>
    <row r="10">
      <c r="A10" s="1">
        <v>9.0</v>
      </c>
      <c r="B10" s="5">
        <v>45240.0</v>
      </c>
      <c r="C10" s="3">
        <v>0.5833333333333334</v>
      </c>
      <c r="D10" s="1" t="s">
        <v>78</v>
      </c>
      <c r="E10" s="1" t="s">
        <v>79</v>
      </c>
      <c r="F10" s="1" t="s">
        <v>71</v>
      </c>
      <c r="G10" s="1" t="s">
        <v>90</v>
      </c>
      <c r="H10" s="1" t="s">
        <v>71</v>
      </c>
      <c r="I10" s="1" t="s">
        <v>91</v>
      </c>
      <c r="J10" s="1">
        <v>272.0</v>
      </c>
      <c r="K10" s="1">
        <v>8.0</v>
      </c>
      <c r="L10" s="1">
        <v>50.0</v>
      </c>
      <c r="M10" s="1">
        <v>0.0</v>
      </c>
      <c r="N10" s="1">
        <v>25.0</v>
      </c>
      <c r="O10" s="1">
        <v>7.0</v>
      </c>
      <c r="P10" s="1">
        <v>32.0</v>
      </c>
      <c r="Q10" s="1">
        <v>5.44</v>
      </c>
      <c r="R10" s="1">
        <v>4.0</v>
      </c>
      <c r="S10" s="1">
        <v>1.0</v>
      </c>
      <c r="T10" s="1">
        <v>10.0</v>
      </c>
      <c r="U10" s="1">
        <v>0.0</v>
      </c>
      <c r="V10" s="1">
        <v>0.0</v>
      </c>
      <c r="W10" s="1">
        <v>15.0</v>
      </c>
      <c r="X10" s="1">
        <v>273.0</v>
      </c>
      <c r="Y10" s="1">
        <v>2.0</v>
      </c>
      <c r="Z10" s="1">
        <v>35.0</v>
      </c>
      <c r="AA10" s="1">
        <v>0.0</v>
      </c>
      <c r="AB10" s="1">
        <v>28.0</v>
      </c>
      <c r="AC10" s="1">
        <v>8.0</v>
      </c>
      <c r="AD10" s="1">
        <v>36.0</v>
      </c>
      <c r="AE10" s="1">
        <v>7.8</v>
      </c>
      <c r="AF10" s="1">
        <v>3.0</v>
      </c>
      <c r="AG10" s="1">
        <v>2.0</v>
      </c>
      <c r="AH10" s="1">
        <v>8.0</v>
      </c>
      <c r="AI10" s="1">
        <v>2.0</v>
      </c>
      <c r="AJ10" s="1">
        <v>0.0</v>
      </c>
      <c r="AK10" s="1">
        <v>15.0</v>
      </c>
      <c r="AL10" s="1" t="s">
        <v>90</v>
      </c>
      <c r="AM10" s="1" t="s">
        <v>105</v>
      </c>
      <c r="AN10" s="1" t="s">
        <v>106</v>
      </c>
      <c r="AO10" s="1" t="s">
        <v>86</v>
      </c>
      <c r="AP10" s="1" t="s">
        <v>100</v>
      </c>
      <c r="AQ10" s="1" t="s">
        <v>107</v>
      </c>
      <c r="AR10" s="1" t="s">
        <v>68</v>
      </c>
      <c r="AS10" s="1">
        <f t="shared" ref="AS10:AT10" si="17">J10 + X10</f>
        <v>545</v>
      </c>
      <c r="AT10" s="4">
        <f t="shared" si="17"/>
        <v>10</v>
      </c>
      <c r="AU10" s="4">
        <f t="shared" ref="AU10:AV10" si="18">N10 + AB10</f>
        <v>53</v>
      </c>
      <c r="AV10" s="4">
        <f t="shared" si="18"/>
        <v>15</v>
      </c>
    </row>
    <row r="11">
      <c r="A11" s="1">
        <v>10.0</v>
      </c>
      <c r="B11" s="5">
        <v>45270.0</v>
      </c>
      <c r="C11" s="3">
        <v>0.5833333333333334</v>
      </c>
      <c r="D11" s="1" t="s">
        <v>108</v>
      </c>
      <c r="E11" s="1" t="s">
        <v>109</v>
      </c>
      <c r="F11" s="1" t="s">
        <v>80</v>
      </c>
      <c r="G11" s="1" t="s">
        <v>89</v>
      </c>
      <c r="H11" s="1" t="s">
        <v>89</v>
      </c>
      <c r="I11" s="1" t="s">
        <v>52</v>
      </c>
      <c r="J11" s="1">
        <v>311.0</v>
      </c>
      <c r="K11" s="1">
        <v>7.0</v>
      </c>
      <c r="L11" s="1">
        <v>50.0</v>
      </c>
      <c r="M11" s="1">
        <v>3.0</v>
      </c>
      <c r="N11" s="1">
        <v>26.0</v>
      </c>
      <c r="O11" s="1">
        <v>8.0</v>
      </c>
      <c r="P11" s="1">
        <v>34.0</v>
      </c>
      <c r="Q11" s="1">
        <v>6.22</v>
      </c>
      <c r="R11" s="1">
        <v>4.0</v>
      </c>
      <c r="S11" s="1">
        <v>0.0</v>
      </c>
      <c r="T11" s="1">
        <v>11.0</v>
      </c>
      <c r="U11" s="1">
        <v>2.0</v>
      </c>
      <c r="V11" s="1">
        <v>0.0</v>
      </c>
      <c r="W11" s="1">
        <v>17.0</v>
      </c>
      <c r="X11" s="1">
        <v>177.0</v>
      </c>
      <c r="Y11" s="1">
        <v>10.0</v>
      </c>
      <c r="Z11" s="1">
        <v>40.5</v>
      </c>
      <c r="AA11" s="1">
        <v>2.0</v>
      </c>
      <c r="AB11" s="1">
        <v>19.0</v>
      </c>
      <c r="AC11" s="1">
        <v>0.0</v>
      </c>
      <c r="AD11" s="1">
        <v>19.0</v>
      </c>
      <c r="AE11" s="1">
        <v>4.33</v>
      </c>
      <c r="AF11" s="1">
        <v>2.0</v>
      </c>
      <c r="AG11" s="1">
        <v>4.0</v>
      </c>
      <c r="AH11" s="1">
        <v>7.0</v>
      </c>
      <c r="AI11" s="1">
        <v>0.0</v>
      </c>
      <c r="AJ11" s="1">
        <v>0.0</v>
      </c>
      <c r="AK11" s="1">
        <v>13.0</v>
      </c>
      <c r="AL11" s="1" t="s">
        <v>80</v>
      </c>
      <c r="AM11" s="1" t="s">
        <v>110</v>
      </c>
      <c r="AN11" s="1" t="s">
        <v>111</v>
      </c>
      <c r="AO11" s="1" t="s">
        <v>75</v>
      </c>
      <c r="AP11" s="1" t="s">
        <v>84</v>
      </c>
      <c r="AQ11" s="1" t="s">
        <v>95</v>
      </c>
      <c r="AR11" s="1" t="s">
        <v>58</v>
      </c>
      <c r="AS11" s="1">
        <f t="shared" ref="AS11:AT11" si="19">J11 + X11</f>
        <v>488</v>
      </c>
      <c r="AT11" s="4">
        <f t="shared" si="19"/>
        <v>17</v>
      </c>
      <c r="AU11" s="4">
        <f t="shared" ref="AU11:AV11" si="20">N11 + AB11</f>
        <v>45</v>
      </c>
      <c r="AV11" s="4">
        <f t="shared" si="20"/>
        <v>8</v>
      </c>
    </row>
    <row r="12">
      <c r="A12" s="1">
        <v>11.0</v>
      </c>
      <c r="B12" s="1" t="s">
        <v>112</v>
      </c>
      <c r="C12" s="3">
        <v>0.5833333333333334</v>
      </c>
      <c r="D12" s="1" t="s">
        <v>87</v>
      </c>
      <c r="E12" s="1" t="s">
        <v>88</v>
      </c>
      <c r="F12" s="1" t="s">
        <v>72</v>
      </c>
      <c r="G12" s="1" t="s">
        <v>51</v>
      </c>
      <c r="H12" s="1" t="s">
        <v>51</v>
      </c>
      <c r="I12" s="1" t="s">
        <v>52</v>
      </c>
      <c r="J12" s="1">
        <v>245.0</v>
      </c>
      <c r="K12" s="1">
        <v>9.0</v>
      </c>
      <c r="L12" s="1">
        <v>50.0</v>
      </c>
      <c r="M12" s="1">
        <v>1.0</v>
      </c>
      <c r="N12" s="1">
        <v>20.0</v>
      </c>
      <c r="O12" s="1">
        <v>8.0</v>
      </c>
      <c r="P12" s="1">
        <v>28.0</v>
      </c>
      <c r="Q12" s="1">
        <v>4.9</v>
      </c>
      <c r="R12" s="1">
        <v>1.0</v>
      </c>
      <c r="S12" s="1">
        <v>0.0</v>
      </c>
      <c r="T12" s="1">
        <v>10.0</v>
      </c>
      <c r="U12" s="1">
        <v>0.0</v>
      </c>
      <c r="V12" s="1">
        <v>0.0</v>
      </c>
      <c r="W12" s="1">
        <v>11.0</v>
      </c>
      <c r="X12" s="1">
        <v>248.0</v>
      </c>
      <c r="Y12" s="1">
        <v>2.0</v>
      </c>
      <c r="Z12" s="1">
        <v>42.5</v>
      </c>
      <c r="AA12" s="1">
        <v>1.0</v>
      </c>
      <c r="AB12" s="1">
        <v>20.0</v>
      </c>
      <c r="AC12" s="1">
        <v>6.0</v>
      </c>
      <c r="AD12" s="1">
        <v>26.0</v>
      </c>
      <c r="AE12" s="1">
        <v>5.78</v>
      </c>
      <c r="AF12" s="1">
        <v>1.0</v>
      </c>
      <c r="AG12" s="1">
        <v>0.0</v>
      </c>
      <c r="AH12" s="1">
        <v>4.0</v>
      </c>
      <c r="AI12" s="1">
        <v>4.0</v>
      </c>
      <c r="AJ12" s="1">
        <v>0.0</v>
      </c>
      <c r="AK12" s="1">
        <v>9.0</v>
      </c>
      <c r="AL12" s="1" t="s">
        <v>51</v>
      </c>
      <c r="AM12" s="1" t="s">
        <v>105</v>
      </c>
      <c r="AN12" s="1" t="s">
        <v>113</v>
      </c>
      <c r="AO12" s="1" t="s">
        <v>55</v>
      </c>
      <c r="AP12" s="1" t="s">
        <v>56</v>
      </c>
      <c r="AQ12" s="1" t="s">
        <v>86</v>
      </c>
      <c r="AR12" s="1" t="s">
        <v>96</v>
      </c>
      <c r="AS12" s="1">
        <f t="shared" ref="AS12:AT12" si="21">J12 + X12</f>
        <v>493</v>
      </c>
      <c r="AT12" s="4">
        <f t="shared" si="21"/>
        <v>11</v>
      </c>
      <c r="AU12" s="4">
        <f t="shared" ref="AU12:AV12" si="22">N12 + AB12</f>
        <v>40</v>
      </c>
      <c r="AV12" s="4">
        <f t="shared" si="22"/>
        <v>14</v>
      </c>
    </row>
    <row r="13">
      <c r="A13" s="1">
        <v>12.0</v>
      </c>
      <c r="B13" s="1" t="s">
        <v>114</v>
      </c>
      <c r="C13" s="3">
        <v>0.5833333333333334</v>
      </c>
      <c r="D13" s="1" t="s">
        <v>48</v>
      </c>
      <c r="E13" s="1" t="s">
        <v>49</v>
      </c>
      <c r="F13" s="1" t="s">
        <v>61</v>
      </c>
      <c r="G13" s="1" t="s">
        <v>90</v>
      </c>
      <c r="H13" s="1" t="s">
        <v>90</v>
      </c>
      <c r="I13" s="1" t="s">
        <v>52</v>
      </c>
      <c r="J13" s="1">
        <v>191.0</v>
      </c>
      <c r="K13" s="1">
        <v>10.0</v>
      </c>
      <c r="L13" s="1">
        <v>42.5</v>
      </c>
      <c r="M13" s="1">
        <v>0.0</v>
      </c>
      <c r="N13" s="1">
        <v>26.0</v>
      </c>
      <c r="O13" s="1">
        <v>0.0</v>
      </c>
      <c r="P13" s="1">
        <v>26.0</v>
      </c>
      <c r="Q13" s="1">
        <v>4.45</v>
      </c>
      <c r="R13" s="1">
        <v>5.0</v>
      </c>
      <c r="S13" s="1">
        <v>0.0</v>
      </c>
      <c r="T13" s="1">
        <v>1.0</v>
      </c>
      <c r="U13" s="1">
        <v>0.0</v>
      </c>
      <c r="V13" s="1">
        <v>0.0</v>
      </c>
      <c r="W13" s="1">
        <v>6.0</v>
      </c>
      <c r="X13" s="1">
        <v>192.0</v>
      </c>
      <c r="Y13" s="1">
        <v>3.0</v>
      </c>
      <c r="Z13" s="1">
        <v>30.3</v>
      </c>
      <c r="AA13" s="1">
        <v>1.0</v>
      </c>
      <c r="AB13" s="1">
        <v>17.0</v>
      </c>
      <c r="AC13" s="1">
        <v>8.0</v>
      </c>
      <c r="AD13" s="1">
        <v>25.0</v>
      </c>
      <c r="AE13" s="1">
        <v>6.29</v>
      </c>
      <c r="AF13" s="1">
        <v>2.0</v>
      </c>
      <c r="AG13" s="1">
        <v>1.0</v>
      </c>
      <c r="AH13" s="1">
        <v>1.0</v>
      </c>
      <c r="AI13" s="1">
        <v>0.0</v>
      </c>
      <c r="AJ13" s="1">
        <v>0.0</v>
      </c>
      <c r="AK13" s="1">
        <v>4.0</v>
      </c>
      <c r="AL13" s="1" t="s">
        <v>90</v>
      </c>
      <c r="AM13" s="1" t="s">
        <v>115</v>
      </c>
      <c r="AN13" s="1" t="s">
        <v>116</v>
      </c>
      <c r="AO13" s="1" t="s">
        <v>84</v>
      </c>
      <c r="AP13" s="1" t="s">
        <v>107</v>
      </c>
      <c r="AQ13" s="1" t="s">
        <v>95</v>
      </c>
      <c r="AR13" s="1" t="s">
        <v>77</v>
      </c>
      <c r="AS13" s="1">
        <f t="shared" ref="AS13:AT13" si="23">J13 + X13</f>
        <v>383</v>
      </c>
      <c r="AT13" s="4">
        <f t="shared" si="23"/>
        <v>13</v>
      </c>
      <c r="AU13" s="4">
        <f t="shared" ref="AU13:AV13" si="24">N13 + AB13</f>
        <v>43</v>
      </c>
      <c r="AV13" s="4">
        <f t="shared" si="24"/>
        <v>8</v>
      </c>
    </row>
    <row r="14">
      <c r="A14" s="1">
        <v>13.0</v>
      </c>
      <c r="B14" s="1" t="s">
        <v>117</v>
      </c>
      <c r="C14" s="3">
        <v>0.5833333333333334</v>
      </c>
      <c r="D14" s="1" t="s">
        <v>78</v>
      </c>
      <c r="E14" s="1" t="s">
        <v>79</v>
      </c>
      <c r="F14" s="1" t="s">
        <v>71</v>
      </c>
      <c r="G14" s="1" t="s">
        <v>50</v>
      </c>
      <c r="H14" s="1" t="s">
        <v>50</v>
      </c>
      <c r="I14" s="1" t="s">
        <v>52</v>
      </c>
      <c r="J14" s="1">
        <v>284.0</v>
      </c>
      <c r="K14" s="1">
        <v>10.0</v>
      </c>
      <c r="L14" s="1">
        <v>49.5</v>
      </c>
      <c r="M14" s="1">
        <v>3.0</v>
      </c>
      <c r="N14" s="1">
        <v>23.0</v>
      </c>
      <c r="O14" s="1">
        <v>8.0</v>
      </c>
      <c r="P14" s="1">
        <v>31.0</v>
      </c>
      <c r="Q14" s="1">
        <v>5.69</v>
      </c>
      <c r="R14" s="1">
        <v>4.0</v>
      </c>
      <c r="S14" s="1">
        <v>0.0</v>
      </c>
      <c r="T14" s="1">
        <v>8.0</v>
      </c>
      <c r="U14" s="1">
        <v>1.0</v>
      </c>
      <c r="V14" s="1">
        <v>0.0</v>
      </c>
      <c r="W14" s="1">
        <v>13.0</v>
      </c>
      <c r="X14" s="1">
        <v>215.0</v>
      </c>
      <c r="Y14" s="1">
        <v>10.0</v>
      </c>
      <c r="Z14" s="1">
        <v>40.3</v>
      </c>
      <c r="AA14" s="1">
        <v>2.0</v>
      </c>
      <c r="AB14" s="1">
        <v>24.0</v>
      </c>
      <c r="AC14" s="1">
        <v>1.0</v>
      </c>
      <c r="AD14" s="1">
        <v>25.0</v>
      </c>
      <c r="AE14" s="1">
        <v>5.3</v>
      </c>
      <c r="AF14" s="1">
        <v>1.0</v>
      </c>
      <c r="AG14" s="1">
        <v>0.0</v>
      </c>
      <c r="AH14" s="1">
        <v>11.0</v>
      </c>
      <c r="AI14" s="1">
        <v>3.0</v>
      </c>
      <c r="AJ14" s="1">
        <v>0.0</v>
      </c>
      <c r="AK14" s="1">
        <v>15.0</v>
      </c>
      <c r="AL14" s="1" t="s">
        <v>71</v>
      </c>
      <c r="AM14" s="1" t="s">
        <v>118</v>
      </c>
      <c r="AN14" s="1" t="s">
        <v>119</v>
      </c>
      <c r="AO14" s="1" t="s">
        <v>85</v>
      </c>
      <c r="AP14" s="1" t="s">
        <v>67</v>
      </c>
      <c r="AQ14" s="1" t="s">
        <v>100</v>
      </c>
      <c r="AR14" s="1" t="s">
        <v>68</v>
      </c>
      <c r="AS14" s="1">
        <f t="shared" ref="AS14:AT14" si="25">J14 + X14</f>
        <v>499</v>
      </c>
      <c r="AT14" s="4">
        <f t="shared" si="25"/>
        <v>20</v>
      </c>
      <c r="AU14" s="4">
        <f t="shared" ref="AU14:AV14" si="26">N14 + AB14</f>
        <v>47</v>
      </c>
      <c r="AV14" s="4">
        <f t="shared" si="26"/>
        <v>9</v>
      </c>
    </row>
    <row r="15">
      <c r="A15" s="1">
        <v>14.0</v>
      </c>
      <c r="B15" s="1" t="s">
        <v>120</v>
      </c>
      <c r="C15" s="3">
        <v>0.5833333333333334</v>
      </c>
      <c r="D15" s="1" t="s">
        <v>108</v>
      </c>
      <c r="E15" s="1" t="s">
        <v>109</v>
      </c>
      <c r="F15" s="1" t="s">
        <v>81</v>
      </c>
      <c r="G15" s="1" t="s">
        <v>89</v>
      </c>
      <c r="H15" s="1" t="s">
        <v>81</v>
      </c>
      <c r="I15" s="1" t="s">
        <v>91</v>
      </c>
      <c r="J15" s="1">
        <v>209.0</v>
      </c>
      <c r="K15" s="1">
        <v>10.0</v>
      </c>
      <c r="L15" s="1">
        <v>43.3</v>
      </c>
      <c r="M15" s="1">
        <v>2.0</v>
      </c>
      <c r="N15" s="1">
        <v>23.0</v>
      </c>
      <c r="O15" s="1">
        <v>1.0</v>
      </c>
      <c r="P15" s="1">
        <v>24.0</v>
      </c>
      <c r="Q15" s="1">
        <v>4.8</v>
      </c>
      <c r="R15" s="1">
        <v>0.0</v>
      </c>
      <c r="S15" s="1">
        <v>0.0</v>
      </c>
      <c r="T15" s="1">
        <v>3.0</v>
      </c>
      <c r="U15" s="1">
        <v>0.0</v>
      </c>
      <c r="V15" s="1">
        <v>0.0</v>
      </c>
      <c r="W15" s="1">
        <v>3.0</v>
      </c>
      <c r="X15" s="1">
        <v>215.0</v>
      </c>
      <c r="Y15" s="1">
        <v>5.0</v>
      </c>
      <c r="Z15" s="1">
        <v>35.2</v>
      </c>
      <c r="AA15" s="1">
        <v>2.0</v>
      </c>
      <c r="AB15" s="1">
        <v>22.0</v>
      </c>
      <c r="AC15" s="1">
        <v>5.0</v>
      </c>
      <c r="AD15" s="1">
        <v>27.0</v>
      </c>
      <c r="AE15" s="1">
        <v>6.08</v>
      </c>
      <c r="AF15" s="1">
        <v>2.0</v>
      </c>
      <c r="AG15" s="1">
        <v>2.0</v>
      </c>
      <c r="AH15" s="1">
        <v>9.0</v>
      </c>
      <c r="AI15" s="1">
        <v>0.0</v>
      </c>
      <c r="AJ15" s="1">
        <v>0.0</v>
      </c>
      <c r="AK15" s="1">
        <v>13.0</v>
      </c>
      <c r="AL15" s="1" t="s">
        <v>89</v>
      </c>
      <c r="AM15" s="1" t="s">
        <v>121</v>
      </c>
      <c r="AN15" s="1" t="s">
        <v>122</v>
      </c>
      <c r="AO15" s="1" t="s">
        <v>104</v>
      </c>
      <c r="AP15" s="1" t="s">
        <v>94</v>
      </c>
      <c r="AQ15" s="1" t="s">
        <v>66</v>
      </c>
      <c r="AR15" s="1" t="s">
        <v>96</v>
      </c>
      <c r="AS15" s="1">
        <f t="shared" ref="AS15:AT15" si="27">J15 + X15</f>
        <v>424</v>
      </c>
      <c r="AT15" s="4">
        <f t="shared" si="27"/>
        <v>15</v>
      </c>
      <c r="AU15" s="4">
        <f t="shared" ref="AU15:AV15" si="28">N15 + AB15</f>
        <v>45</v>
      </c>
      <c r="AV15" s="4">
        <f t="shared" si="28"/>
        <v>6</v>
      </c>
    </row>
    <row r="16">
      <c r="A16" s="1">
        <v>15.0</v>
      </c>
      <c r="B16" s="1" t="s">
        <v>123</v>
      </c>
      <c r="C16" s="3">
        <v>0.5833333333333334</v>
      </c>
      <c r="D16" s="1" t="s">
        <v>69</v>
      </c>
      <c r="E16" s="1" t="s">
        <v>70</v>
      </c>
      <c r="F16" s="1" t="s">
        <v>62</v>
      </c>
      <c r="G16" s="1" t="s">
        <v>80</v>
      </c>
      <c r="H16" s="1" t="s">
        <v>80</v>
      </c>
      <c r="I16" s="1" t="s">
        <v>52</v>
      </c>
      <c r="J16" s="1">
        <v>245.0</v>
      </c>
      <c r="K16" s="1">
        <v>8.0</v>
      </c>
      <c r="L16" s="1">
        <v>43.0</v>
      </c>
      <c r="M16" s="1">
        <v>1.0</v>
      </c>
      <c r="N16" s="1">
        <v>23.0</v>
      </c>
      <c r="O16" s="1">
        <v>6.0</v>
      </c>
      <c r="P16" s="1">
        <v>29.0</v>
      </c>
      <c r="Q16" s="1">
        <v>5.69</v>
      </c>
      <c r="R16" s="1">
        <v>2.0</v>
      </c>
      <c r="S16" s="1">
        <v>0.0</v>
      </c>
      <c r="T16" s="1">
        <v>5.0</v>
      </c>
      <c r="U16" s="1">
        <v>1.0</v>
      </c>
      <c r="V16" s="1">
        <v>0.0</v>
      </c>
      <c r="W16" s="1">
        <v>8.0</v>
      </c>
      <c r="X16" s="1">
        <v>207.0</v>
      </c>
      <c r="Y16" s="1">
        <v>10.0</v>
      </c>
      <c r="Z16" s="1">
        <v>42.5</v>
      </c>
      <c r="AA16" s="1">
        <v>3.0</v>
      </c>
      <c r="AB16" s="1">
        <v>19.0</v>
      </c>
      <c r="AC16" s="1">
        <v>5.0</v>
      </c>
      <c r="AD16" s="1">
        <v>24.0</v>
      </c>
      <c r="AE16" s="1">
        <v>4.83</v>
      </c>
      <c r="AF16" s="1">
        <v>10.0</v>
      </c>
      <c r="AG16" s="1">
        <v>0.0</v>
      </c>
      <c r="AH16" s="1">
        <v>21.0</v>
      </c>
      <c r="AI16" s="1">
        <v>1.0</v>
      </c>
      <c r="AJ16" s="1">
        <v>0.0</v>
      </c>
      <c r="AK16" s="1">
        <v>32.0</v>
      </c>
      <c r="AL16" s="1" t="s">
        <v>62</v>
      </c>
      <c r="AM16" s="1" t="s">
        <v>124</v>
      </c>
      <c r="AN16" s="1" t="s">
        <v>125</v>
      </c>
      <c r="AO16" s="1" t="s">
        <v>95</v>
      </c>
      <c r="AP16" s="1" t="s">
        <v>86</v>
      </c>
      <c r="AQ16" s="1" t="s">
        <v>85</v>
      </c>
      <c r="AR16" s="1" t="s">
        <v>68</v>
      </c>
      <c r="AS16" s="1">
        <f t="shared" ref="AS16:AT16" si="29">J16 + X16</f>
        <v>452</v>
      </c>
      <c r="AT16" s="4">
        <f t="shared" si="29"/>
        <v>18</v>
      </c>
      <c r="AU16" s="4">
        <f t="shared" ref="AU16:AV16" si="30">N16 + AB16</f>
        <v>42</v>
      </c>
      <c r="AV16" s="4">
        <f t="shared" si="30"/>
        <v>11</v>
      </c>
    </row>
    <row r="17">
      <c r="A17" s="1">
        <v>16.0</v>
      </c>
      <c r="B17" s="1" t="s">
        <v>126</v>
      </c>
      <c r="C17" s="3">
        <v>0.5833333333333334</v>
      </c>
      <c r="D17" s="1" t="s">
        <v>87</v>
      </c>
      <c r="E17" s="1" t="s">
        <v>88</v>
      </c>
      <c r="F17" s="1" t="s">
        <v>51</v>
      </c>
      <c r="G17" s="1" t="s">
        <v>71</v>
      </c>
      <c r="H17" s="1" t="s">
        <v>71</v>
      </c>
      <c r="I17" s="1" t="s">
        <v>52</v>
      </c>
      <c r="J17" s="1">
        <v>288.0</v>
      </c>
      <c r="K17" s="1">
        <v>6.0</v>
      </c>
      <c r="L17" s="1">
        <v>50.0</v>
      </c>
      <c r="M17" s="1">
        <v>4.0</v>
      </c>
      <c r="N17" s="1">
        <v>19.0</v>
      </c>
      <c r="O17" s="1">
        <v>11.0</v>
      </c>
      <c r="P17" s="1">
        <v>30.0</v>
      </c>
      <c r="Q17" s="1">
        <v>5.76</v>
      </c>
      <c r="R17" s="1">
        <v>0.0</v>
      </c>
      <c r="S17" s="1">
        <v>0.0</v>
      </c>
      <c r="T17" s="1">
        <v>5.0</v>
      </c>
      <c r="U17" s="1">
        <v>0.0</v>
      </c>
      <c r="V17" s="1">
        <v>0.0</v>
      </c>
      <c r="W17" s="1">
        <v>5.0</v>
      </c>
      <c r="X17" s="1">
        <v>139.0</v>
      </c>
      <c r="Y17" s="1">
        <v>10.0</v>
      </c>
      <c r="Z17" s="1">
        <v>34.4</v>
      </c>
      <c r="AA17" s="1">
        <v>2.0</v>
      </c>
      <c r="AB17" s="1">
        <v>11.0</v>
      </c>
      <c r="AC17" s="1">
        <v>2.0</v>
      </c>
      <c r="AD17" s="1">
        <v>13.0</v>
      </c>
      <c r="AE17" s="1">
        <v>4.0</v>
      </c>
      <c r="AF17" s="1">
        <v>4.0</v>
      </c>
      <c r="AG17" s="1">
        <v>0.0</v>
      </c>
      <c r="AH17" s="1">
        <v>5.0</v>
      </c>
      <c r="AI17" s="1">
        <v>1.0</v>
      </c>
      <c r="AJ17" s="1">
        <v>0.0</v>
      </c>
      <c r="AK17" s="1">
        <v>10.0</v>
      </c>
      <c r="AL17" s="1" t="s">
        <v>51</v>
      </c>
      <c r="AM17" s="1" t="s">
        <v>127</v>
      </c>
      <c r="AN17" s="1" t="s">
        <v>128</v>
      </c>
      <c r="AO17" s="1" t="s">
        <v>57</v>
      </c>
      <c r="AP17" s="1" t="s">
        <v>75</v>
      </c>
      <c r="AQ17" s="1" t="s">
        <v>104</v>
      </c>
      <c r="AR17" s="1" t="s">
        <v>58</v>
      </c>
      <c r="AS17" s="1">
        <f t="shared" ref="AS17:AT17" si="31">J17 + X17</f>
        <v>427</v>
      </c>
      <c r="AT17" s="4">
        <f t="shared" si="31"/>
        <v>16</v>
      </c>
      <c r="AU17" s="4">
        <f t="shared" ref="AU17:AV17" si="32">N17 + AB17</f>
        <v>30</v>
      </c>
      <c r="AV17" s="4">
        <f t="shared" si="32"/>
        <v>13</v>
      </c>
    </row>
    <row r="18">
      <c r="A18" s="1">
        <v>17.0</v>
      </c>
      <c r="B18" s="1" t="s">
        <v>129</v>
      </c>
      <c r="C18" s="3">
        <v>0.5833333333333334</v>
      </c>
      <c r="D18" s="1" t="s">
        <v>130</v>
      </c>
      <c r="E18" s="1" t="s">
        <v>131</v>
      </c>
      <c r="F18" s="1" t="s">
        <v>72</v>
      </c>
      <c r="G18" s="1" t="s">
        <v>90</v>
      </c>
      <c r="H18" s="1" t="s">
        <v>72</v>
      </c>
      <c r="I18" s="1" t="s">
        <v>91</v>
      </c>
      <c r="J18" s="1">
        <v>256.0</v>
      </c>
      <c r="K18" s="1">
        <v>8.0</v>
      </c>
      <c r="L18" s="1">
        <v>50.0</v>
      </c>
      <c r="M18" s="1">
        <v>0.0</v>
      </c>
      <c r="N18" s="1">
        <v>18.0</v>
      </c>
      <c r="O18" s="1">
        <v>8.0</v>
      </c>
      <c r="P18" s="1">
        <v>26.0</v>
      </c>
      <c r="Q18" s="1">
        <v>5.12</v>
      </c>
      <c r="R18" s="1">
        <v>0.0</v>
      </c>
      <c r="S18" s="1">
        <v>0.0</v>
      </c>
      <c r="T18" s="1">
        <v>2.0</v>
      </c>
      <c r="U18" s="1">
        <v>2.0</v>
      </c>
      <c r="V18" s="1">
        <v>0.0</v>
      </c>
      <c r="W18" s="1">
        <v>4.0</v>
      </c>
      <c r="X18" s="1">
        <v>261.0</v>
      </c>
      <c r="Y18" s="1">
        <v>3.0</v>
      </c>
      <c r="Z18" s="1">
        <v>41.3</v>
      </c>
      <c r="AA18" s="1">
        <v>1.0</v>
      </c>
      <c r="AB18" s="1">
        <v>23.0</v>
      </c>
      <c r="AC18" s="1">
        <v>9.0</v>
      </c>
      <c r="AD18" s="1">
        <v>32.0</v>
      </c>
      <c r="AE18" s="1">
        <v>6.28</v>
      </c>
      <c r="AF18" s="1">
        <v>1.0</v>
      </c>
      <c r="AG18" s="1">
        <v>0.0</v>
      </c>
      <c r="AH18" s="1">
        <v>5.0</v>
      </c>
      <c r="AI18" s="1">
        <v>0.0</v>
      </c>
      <c r="AJ18" s="1">
        <v>0.0</v>
      </c>
      <c r="AK18" s="1">
        <v>6.0</v>
      </c>
      <c r="AL18" s="1" t="s">
        <v>90</v>
      </c>
      <c r="AM18" s="1" t="s">
        <v>115</v>
      </c>
      <c r="AN18" s="1" t="s">
        <v>132</v>
      </c>
      <c r="AO18" s="1" t="s">
        <v>65</v>
      </c>
      <c r="AP18" s="1" t="s">
        <v>95</v>
      </c>
      <c r="AQ18" s="1" t="s">
        <v>55</v>
      </c>
      <c r="AR18" s="1" t="s">
        <v>77</v>
      </c>
      <c r="AS18" s="1">
        <f t="shared" ref="AS18:AT18" si="33">J18 + X18</f>
        <v>517</v>
      </c>
      <c r="AT18" s="4">
        <f t="shared" si="33"/>
        <v>11</v>
      </c>
      <c r="AU18" s="4">
        <f t="shared" ref="AU18:AV18" si="34">N18 + AB18</f>
        <v>41</v>
      </c>
      <c r="AV18" s="4">
        <f t="shared" si="34"/>
        <v>17</v>
      </c>
    </row>
    <row r="19">
      <c r="A19" s="1">
        <v>18.0</v>
      </c>
      <c r="B19" s="1" t="s">
        <v>133</v>
      </c>
      <c r="C19" s="3">
        <v>0.5833333333333334</v>
      </c>
      <c r="D19" s="1" t="s">
        <v>134</v>
      </c>
      <c r="E19" s="1" t="s">
        <v>135</v>
      </c>
      <c r="F19" s="1" t="s">
        <v>89</v>
      </c>
      <c r="G19" s="1" t="s">
        <v>61</v>
      </c>
      <c r="H19" s="1" t="s">
        <v>61</v>
      </c>
      <c r="I19" s="1" t="s">
        <v>52</v>
      </c>
      <c r="J19" s="1">
        <v>367.0</v>
      </c>
      <c r="K19" s="1">
        <v>9.0</v>
      </c>
      <c r="L19" s="1">
        <v>50.0</v>
      </c>
      <c r="M19" s="1">
        <v>1.0</v>
      </c>
      <c r="N19" s="1">
        <v>29.0</v>
      </c>
      <c r="O19" s="1">
        <v>19.0</v>
      </c>
      <c r="P19" s="1">
        <v>48.0</v>
      </c>
      <c r="Q19" s="1">
        <v>7.34</v>
      </c>
      <c r="R19" s="1">
        <v>7.0</v>
      </c>
      <c r="S19" s="1">
        <v>1.0</v>
      </c>
      <c r="T19" s="1">
        <v>11.0</v>
      </c>
      <c r="U19" s="1">
        <v>0.0</v>
      </c>
      <c r="V19" s="1">
        <v>0.0</v>
      </c>
      <c r="W19" s="1">
        <v>19.0</v>
      </c>
      <c r="X19" s="1">
        <v>305.0</v>
      </c>
      <c r="Y19" s="1">
        <v>10.0</v>
      </c>
      <c r="Z19" s="1">
        <v>45.3</v>
      </c>
      <c r="AA19" s="1">
        <v>1.0</v>
      </c>
      <c r="AB19" s="1">
        <v>34.0</v>
      </c>
      <c r="AC19" s="1">
        <v>6.0</v>
      </c>
      <c r="AD19" s="1">
        <v>40.0</v>
      </c>
      <c r="AE19" s="1">
        <v>6.7</v>
      </c>
      <c r="AF19" s="1">
        <v>10.0</v>
      </c>
      <c r="AG19" s="1">
        <v>1.0</v>
      </c>
      <c r="AH19" s="1">
        <v>14.0</v>
      </c>
      <c r="AI19" s="1">
        <v>0.0</v>
      </c>
      <c r="AJ19" s="1">
        <v>0.0</v>
      </c>
      <c r="AK19" s="1">
        <v>25.0</v>
      </c>
      <c r="AL19" s="1" t="s">
        <v>89</v>
      </c>
      <c r="AM19" s="1" t="s">
        <v>136</v>
      </c>
      <c r="AN19" s="1" t="s">
        <v>137</v>
      </c>
      <c r="AO19" s="1" t="s">
        <v>84</v>
      </c>
      <c r="AP19" s="1" t="s">
        <v>66</v>
      </c>
      <c r="AQ19" s="1" t="s">
        <v>104</v>
      </c>
      <c r="AR19" s="1" t="s">
        <v>96</v>
      </c>
      <c r="AS19" s="1">
        <f t="shared" ref="AS19:AT19" si="35">J19 + X19</f>
        <v>672</v>
      </c>
      <c r="AT19" s="4">
        <f t="shared" si="35"/>
        <v>19</v>
      </c>
      <c r="AU19" s="4">
        <f t="shared" ref="AU19:AV19" si="36">N19 + AB19</f>
        <v>63</v>
      </c>
      <c r="AV19" s="4">
        <f t="shared" si="36"/>
        <v>25</v>
      </c>
    </row>
    <row r="20">
      <c r="A20" s="1">
        <v>19.0</v>
      </c>
      <c r="B20" s="1" t="s">
        <v>138</v>
      </c>
      <c r="C20" s="3">
        <v>0.4375</v>
      </c>
      <c r="D20" s="1" t="s">
        <v>108</v>
      </c>
      <c r="E20" s="1" t="s">
        <v>109</v>
      </c>
      <c r="F20" s="1" t="s">
        <v>62</v>
      </c>
      <c r="G20" s="1" t="s">
        <v>81</v>
      </c>
      <c r="H20" s="1" t="s">
        <v>62</v>
      </c>
      <c r="I20" s="1" t="s">
        <v>91</v>
      </c>
      <c r="J20" s="1">
        <v>262.0</v>
      </c>
      <c r="K20" s="1">
        <v>10.0</v>
      </c>
      <c r="L20" s="1">
        <v>49.4</v>
      </c>
      <c r="M20" s="1">
        <v>1.0</v>
      </c>
      <c r="N20" s="1">
        <v>14.0</v>
      </c>
      <c r="O20" s="1">
        <v>3.0</v>
      </c>
      <c r="P20" s="1">
        <v>17.0</v>
      </c>
      <c r="Q20" s="1">
        <v>5.27</v>
      </c>
      <c r="R20" s="1">
        <v>0.0</v>
      </c>
      <c r="S20" s="1">
        <v>13.0</v>
      </c>
      <c r="T20" s="1">
        <v>11.0</v>
      </c>
      <c r="U20" s="1">
        <v>0.0</v>
      </c>
      <c r="V20" s="1">
        <v>0.0</v>
      </c>
      <c r="W20" s="1">
        <v>24.0</v>
      </c>
      <c r="X20" s="1">
        <v>263.0</v>
      </c>
      <c r="Y20" s="1">
        <v>5.0</v>
      </c>
      <c r="Z20" s="1">
        <v>48.2</v>
      </c>
      <c r="AA20" s="1">
        <v>2.0</v>
      </c>
      <c r="AB20" s="1">
        <v>23.0</v>
      </c>
      <c r="AC20" s="1">
        <v>3.0</v>
      </c>
      <c r="AD20" s="1">
        <v>26.0</v>
      </c>
      <c r="AE20" s="1">
        <v>5.44</v>
      </c>
      <c r="AF20" s="1">
        <v>1.0</v>
      </c>
      <c r="AG20" s="1">
        <v>0.0</v>
      </c>
      <c r="AH20" s="1">
        <v>26.0</v>
      </c>
      <c r="AI20" s="1">
        <v>1.0</v>
      </c>
      <c r="AJ20" s="1">
        <v>5.0</v>
      </c>
      <c r="AK20" s="1">
        <v>33.0</v>
      </c>
      <c r="AL20" s="1" t="s">
        <v>81</v>
      </c>
      <c r="AM20" s="1" t="s">
        <v>121</v>
      </c>
      <c r="AN20" s="1" t="s">
        <v>139</v>
      </c>
      <c r="AO20" s="1" t="s">
        <v>76</v>
      </c>
      <c r="AP20" s="1" t="s">
        <v>107</v>
      </c>
      <c r="AQ20" s="1" t="s">
        <v>67</v>
      </c>
      <c r="AR20" s="1" t="s">
        <v>68</v>
      </c>
      <c r="AS20" s="1">
        <f t="shared" ref="AS20:AT20" si="37">J20 + X20</f>
        <v>525</v>
      </c>
      <c r="AT20" s="4">
        <f t="shared" si="37"/>
        <v>15</v>
      </c>
      <c r="AU20" s="4">
        <f t="shared" ref="AU20:AV20" si="38">N20 + AB20</f>
        <v>37</v>
      </c>
      <c r="AV20" s="4">
        <f t="shared" si="38"/>
        <v>6</v>
      </c>
    </row>
    <row r="21">
      <c r="A21" s="1">
        <v>20.0</v>
      </c>
      <c r="B21" s="1" t="s">
        <v>138</v>
      </c>
      <c r="C21" s="3">
        <v>0.5833333333333334</v>
      </c>
      <c r="D21" s="1" t="s">
        <v>140</v>
      </c>
      <c r="E21" s="1" t="s">
        <v>141</v>
      </c>
      <c r="F21" s="1" t="s">
        <v>80</v>
      </c>
      <c r="G21" s="1" t="s">
        <v>50</v>
      </c>
      <c r="H21" s="1" t="s">
        <v>50</v>
      </c>
      <c r="I21" s="1" t="s">
        <v>52</v>
      </c>
      <c r="J21" s="1">
        <v>399.0</v>
      </c>
      <c r="K21" s="1">
        <v>7.0</v>
      </c>
      <c r="L21" s="1">
        <v>50.0</v>
      </c>
      <c r="M21" s="1">
        <v>2.0</v>
      </c>
      <c r="N21" s="1">
        <v>38.0</v>
      </c>
      <c r="O21" s="1">
        <v>13.0</v>
      </c>
      <c r="P21" s="1">
        <v>51.0</v>
      </c>
      <c r="Q21" s="1">
        <v>7.98</v>
      </c>
      <c r="R21" s="1">
        <v>9.0</v>
      </c>
      <c r="S21" s="1">
        <v>0.0</v>
      </c>
      <c r="T21" s="1">
        <v>5.0</v>
      </c>
      <c r="U21" s="1">
        <v>1.0</v>
      </c>
      <c r="V21" s="1">
        <v>0.0</v>
      </c>
      <c r="W21" s="1">
        <v>15.0</v>
      </c>
      <c r="X21" s="1">
        <v>170.0</v>
      </c>
      <c r="Y21" s="1">
        <v>10.0</v>
      </c>
      <c r="Z21" s="1">
        <v>22.0</v>
      </c>
      <c r="AA21" s="1">
        <v>1.0</v>
      </c>
      <c r="AB21" s="1">
        <v>18.0</v>
      </c>
      <c r="AC21" s="1">
        <v>9.0</v>
      </c>
      <c r="AD21" s="1">
        <v>27.0</v>
      </c>
      <c r="AE21" s="1">
        <v>7.72</v>
      </c>
      <c r="AF21" s="1">
        <v>3.0</v>
      </c>
      <c r="AG21" s="1">
        <v>2.0</v>
      </c>
      <c r="AH21" s="1">
        <v>9.0</v>
      </c>
      <c r="AI21" s="1">
        <v>1.0</v>
      </c>
      <c r="AJ21" s="1">
        <v>0.0</v>
      </c>
      <c r="AK21" s="1">
        <v>15.0</v>
      </c>
      <c r="AL21" s="1" t="s">
        <v>80</v>
      </c>
      <c r="AM21" s="1" t="s">
        <v>142</v>
      </c>
      <c r="AN21" s="1" t="s">
        <v>143</v>
      </c>
      <c r="AO21" s="1" t="s">
        <v>56</v>
      </c>
      <c r="AP21" s="1" t="s">
        <v>55</v>
      </c>
      <c r="AQ21" s="1" t="s">
        <v>100</v>
      </c>
      <c r="AR21" s="1" t="s">
        <v>58</v>
      </c>
      <c r="AS21" s="1">
        <f t="shared" ref="AS21:AT21" si="39">J21 + X21</f>
        <v>569</v>
      </c>
      <c r="AT21" s="4">
        <f t="shared" si="39"/>
        <v>17</v>
      </c>
      <c r="AU21" s="4">
        <f t="shared" ref="AU21:AV21" si="40">N21 + AB21</f>
        <v>56</v>
      </c>
      <c r="AV21" s="4">
        <f t="shared" si="40"/>
        <v>22</v>
      </c>
    </row>
    <row r="22">
      <c r="A22" s="1">
        <v>21.0</v>
      </c>
      <c r="B22" s="1" t="s">
        <v>144</v>
      </c>
      <c r="C22" s="3">
        <v>0.5833333333333334</v>
      </c>
      <c r="D22" s="1" t="s">
        <v>69</v>
      </c>
      <c r="E22" s="1" t="s">
        <v>70</v>
      </c>
      <c r="F22" s="1" t="s">
        <v>51</v>
      </c>
      <c r="G22" s="1" t="s">
        <v>90</v>
      </c>
      <c r="H22" s="1" t="s">
        <v>90</v>
      </c>
      <c r="I22" s="1" t="s">
        <v>52</v>
      </c>
      <c r="J22" s="1">
        <v>273.0</v>
      </c>
      <c r="K22" s="1">
        <v>10.0</v>
      </c>
      <c r="L22" s="1">
        <v>50.0</v>
      </c>
      <c r="M22" s="1">
        <v>0.0</v>
      </c>
      <c r="N22" s="1">
        <v>19.0</v>
      </c>
      <c r="O22" s="1">
        <v>7.0</v>
      </c>
      <c r="P22" s="1">
        <v>26.0</v>
      </c>
      <c r="Q22" s="1">
        <v>5.46</v>
      </c>
      <c r="R22" s="1">
        <v>1.0</v>
      </c>
      <c r="S22" s="1">
        <v>0.0</v>
      </c>
      <c r="T22" s="1">
        <v>4.0</v>
      </c>
      <c r="U22" s="1">
        <v>0.0</v>
      </c>
      <c r="V22" s="1">
        <v>0.0</v>
      </c>
      <c r="W22" s="1">
        <v>5.0</v>
      </c>
      <c r="X22" s="1">
        <v>274.0</v>
      </c>
      <c r="Y22" s="1">
        <v>6.0</v>
      </c>
      <c r="Z22" s="1">
        <v>48.0</v>
      </c>
      <c r="AA22" s="1">
        <v>2.0</v>
      </c>
      <c r="AB22" s="1">
        <v>29.0</v>
      </c>
      <c r="AC22" s="1">
        <v>7.0</v>
      </c>
      <c r="AD22" s="1">
        <v>36.0</v>
      </c>
      <c r="AE22" s="1">
        <v>5.7</v>
      </c>
      <c r="AF22" s="1">
        <v>5.0</v>
      </c>
      <c r="AG22" s="1">
        <v>3.0</v>
      </c>
      <c r="AH22" s="1">
        <v>7.0</v>
      </c>
      <c r="AI22" s="1">
        <v>0.0</v>
      </c>
      <c r="AJ22" s="1">
        <v>0.0</v>
      </c>
      <c r="AK22" s="1">
        <v>15.0</v>
      </c>
      <c r="AL22" s="1" t="s">
        <v>90</v>
      </c>
      <c r="AM22" s="1" t="s">
        <v>145</v>
      </c>
      <c r="AN22" s="1" t="s">
        <v>146</v>
      </c>
      <c r="AO22" s="1" t="s">
        <v>95</v>
      </c>
      <c r="AP22" s="1" t="s">
        <v>86</v>
      </c>
      <c r="AQ22" s="1" t="s">
        <v>57</v>
      </c>
      <c r="AR22" s="1" t="s">
        <v>77</v>
      </c>
      <c r="AS22" s="1">
        <f t="shared" ref="AS22:AT22" si="41">J22 + X22</f>
        <v>547</v>
      </c>
      <c r="AT22" s="4">
        <f t="shared" si="41"/>
        <v>16</v>
      </c>
      <c r="AU22" s="4">
        <f t="shared" ref="AU22:AV22" si="42">N22 + AB22</f>
        <v>48</v>
      </c>
      <c r="AV22" s="4">
        <f t="shared" si="42"/>
        <v>14</v>
      </c>
    </row>
    <row r="23">
      <c r="A23" s="1">
        <v>22.0</v>
      </c>
      <c r="B23" s="1" t="s">
        <v>147</v>
      </c>
      <c r="C23" s="3">
        <v>0.5833333333333334</v>
      </c>
      <c r="D23" s="1" t="s">
        <v>87</v>
      </c>
      <c r="E23" s="1" t="s">
        <v>88</v>
      </c>
      <c r="F23" s="1" t="s">
        <v>61</v>
      </c>
      <c r="G23" s="1" t="s">
        <v>71</v>
      </c>
      <c r="H23" s="1" t="s">
        <v>61</v>
      </c>
      <c r="I23" s="1" t="s">
        <v>91</v>
      </c>
      <c r="J23" s="1">
        <v>282.0</v>
      </c>
      <c r="K23" s="1">
        <v>7.0</v>
      </c>
      <c r="L23" s="1">
        <v>50.0</v>
      </c>
      <c r="M23" s="1">
        <v>2.0</v>
      </c>
      <c r="N23" s="1">
        <v>17.0</v>
      </c>
      <c r="O23" s="1">
        <v>9.0</v>
      </c>
      <c r="P23" s="1">
        <v>26.0</v>
      </c>
      <c r="Q23" s="1">
        <v>5.64</v>
      </c>
      <c r="R23" s="1">
        <v>0.0</v>
      </c>
      <c r="S23" s="1">
        <v>0.0</v>
      </c>
      <c r="T23" s="1">
        <v>8.0</v>
      </c>
      <c r="U23" s="1">
        <v>1.0</v>
      </c>
      <c r="V23" s="1">
        <v>0.0</v>
      </c>
      <c r="W23" s="1">
        <v>9.0</v>
      </c>
      <c r="X23" s="1">
        <v>286.0</v>
      </c>
      <c r="Y23" s="1">
        <v>2.0</v>
      </c>
      <c r="Z23" s="1">
        <v>49.0</v>
      </c>
      <c r="AA23" s="1">
        <v>0.0</v>
      </c>
      <c r="AB23" s="1">
        <v>28.0</v>
      </c>
      <c r="AC23" s="1">
        <v>3.0</v>
      </c>
      <c r="AD23" s="1">
        <v>31.0</v>
      </c>
      <c r="AE23" s="1">
        <v>5.83</v>
      </c>
      <c r="AF23" s="1">
        <v>4.0</v>
      </c>
      <c r="AG23" s="1">
        <v>0.0</v>
      </c>
      <c r="AH23" s="1">
        <v>12.0</v>
      </c>
      <c r="AI23" s="1">
        <v>1.0</v>
      </c>
      <c r="AJ23" s="1">
        <v>0.0</v>
      </c>
      <c r="AK23" s="1">
        <v>17.0</v>
      </c>
      <c r="AL23" s="1" t="s">
        <v>71</v>
      </c>
      <c r="AM23" s="1" t="s">
        <v>105</v>
      </c>
      <c r="AN23" s="1" t="s">
        <v>148</v>
      </c>
      <c r="AO23" s="1" t="s">
        <v>100</v>
      </c>
      <c r="AP23" s="1" t="s">
        <v>67</v>
      </c>
      <c r="AQ23" s="1" t="s">
        <v>94</v>
      </c>
      <c r="AR23" s="1" t="s">
        <v>96</v>
      </c>
      <c r="AS23" s="1">
        <f t="shared" ref="AS23:AT23" si="43">J23 + X23</f>
        <v>568</v>
      </c>
      <c r="AT23" s="4">
        <f t="shared" si="43"/>
        <v>9</v>
      </c>
      <c r="AU23" s="4">
        <f t="shared" ref="AU23:AV23" si="44">N23 + AB23</f>
        <v>45</v>
      </c>
      <c r="AV23" s="4">
        <f t="shared" si="44"/>
        <v>12</v>
      </c>
    </row>
    <row r="24">
      <c r="A24" s="1">
        <v>23.0</v>
      </c>
      <c r="B24" s="1" t="s">
        <v>149</v>
      </c>
      <c r="C24" s="3">
        <v>0.5833333333333334</v>
      </c>
      <c r="D24" s="1" t="s">
        <v>140</v>
      </c>
      <c r="E24" s="1" t="s">
        <v>141</v>
      </c>
      <c r="F24" s="1" t="s">
        <v>80</v>
      </c>
      <c r="G24" s="1" t="s">
        <v>72</v>
      </c>
      <c r="H24" s="1" t="s">
        <v>80</v>
      </c>
      <c r="I24" s="1" t="s">
        <v>91</v>
      </c>
      <c r="J24" s="1">
        <v>382.0</v>
      </c>
      <c r="K24" s="1">
        <v>5.0</v>
      </c>
      <c r="L24" s="1">
        <v>50.0</v>
      </c>
      <c r="M24" s="1">
        <v>2.0</v>
      </c>
      <c r="N24" s="1">
        <v>26.0</v>
      </c>
      <c r="O24" s="1">
        <v>19.0</v>
      </c>
      <c r="P24" s="1">
        <v>45.0</v>
      </c>
      <c r="Q24" s="1">
        <v>7.64</v>
      </c>
      <c r="R24" s="1">
        <v>2.0</v>
      </c>
      <c r="S24" s="1">
        <v>0.0</v>
      </c>
      <c r="T24" s="1">
        <v>13.0</v>
      </c>
      <c r="U24" s="1">
        <v>2.0</v>
      </c>
      <c r="V24" s="1">
        <v>0.0</v>
      </c>
      <c r="W24" s="1">
        <v>17.0</v>
      </c>
      <c r="X24" s="1">
        <v>233.0</v>
      </c>
      <c r="Y24" s="1">
        <v>10.0</v>
      </c>
      <c r="Z24" s="1">
        <v>46.4</v>
      </c>
      <c r="AA24" s="1">
        <v>0.0</v>
      </c>
      <c r="AB24" s="1">
        <v>25.0</v>
      </c>
      <c r="AC24" s="1">
        <v>5.0</v>
      </c>
      <c r="AD24" s="1">
        <v>30.0</v>
      </c>
      <c r="AE24" s="1">
        <v>4.99</v>
      </c>
      <c r="AF24" s="1">
        <v>3.0</v>
      </c>
      <c r="AG24" s="1">
        <v>0.0</v>
      </c>
      <c r="AH24" s="1">
        <v>7.0</v>
      </c>
      <c r="AI24" s="1">
        <v>0.0</v>
      </c>
      <c r="AJ24" s="1">
        <v>0.0</v>
      </c>
      <c r="AK24" s="1">
        <v>10.0</v>
      </c>
      <c r="AL24" s="1" t="s">
        <v>80</v>
      </c>
      <c r="AM24" s="1" t="s">
        <v>127</v>
      </c>
      <c r="AN24" s="1" t="s">
        <v>111</v>
      </c>
      <c r="AO24" s="1" t="s">
        <v>104</v>
      </c>
      <c r="AP24" s="1" t="s">
        <v>75</v>
      </c>
      <c r="AQ24" s="1" t="s">
        <v>57</v>
      </c>
      <c r="AR24" s="1" t="s">
        <v>68</v>
      </c>
      <c r="AS24" s="1">
        <f t="shared" ref="AS24:AT24" si="45">J24 + X24</f>
        <v>615</v>
      </c>
      <c r="AT24" s="4">
        <f t="shared" si="45"/>
        <v>15</v>
      </c>
      <c r="AU24" s="4">
        <f t="shared" ref="AU24:AV24" si="46">N24 + AB24</f>
        <v>51</v>
      </c>
      <c r="AV24" s="4">
        <f t="shared" si="46"/>
        <v>24</v>
      </c>
    </row>
    <row r="25">
      <c r="A25" s="1">
        <v>24.0</v>
      </c>
      <c r="B25" s="1" t="s">
        <v>150</v>
      </c>
      <c r="C25" s="3">
        <v>0.5833333333333334</v>
      </c>
      <c r="D25" s="1" t="s">
        <v>78</v>
      </c>
      <c r="E25" s="1" t="s">
        <v>79</v>
      </c>
      <c r="F25" s="1" t="s">
        <v>89</v>
      </c>
      <c r="G25" s="1" t="s">
        <v>62</v>
      </c>
      <c r="H25" s="1" t="s">
        <v>89</v>
      </c>
      <c r="I25" s="1" t="s">
        <v>91</v>
      </c>
      <c r="J25" s="1">
        <v>399.0</v>
      </c>
      <c r="K25" s="1">
        <v>8.0</v>
      </c>
      <c r="L25" s="1">
        <v>50.0</v>
      </c>
      <c r="M25" s="1">
        <v>0.0</v>
      </c>
      <c r="N25" s="1">
        <v>42.0</v>
      </c>
      <c r="O25" s="1">
        <v>15.0</v>
      </c>
      <c r="P25" s="1">
        <v>57.0</v>
      </c>
      <c r="Q25" s="1">
        <v>7.98</v>
      </c>
      <c r="R25" s="1">
        <v>0.0</v>
      </c>
      <c r="S25" s="1">
        <v>0.0</v>
      </c>
      <c r="T25" s="1">
        <v>7.0</v>
      </c>
      <c r="U25" s="1">
        <v>0.0</v>
      </c>
      <c r="V25" s="1">
        <v>0.0</v>
      </c>
      <c r="W25" s="1">
        <v>7.0</v>
      </c>
      <c r="X25" s="1">
        <v>90.0</v>
      </c>
      <c r="Y25" s="1">
        <v>10.0</v>
      </c>
      <c r="Z25" s="1">
        <v>21.0</v>
      </c>
      <c r="AA25" s="1">
        <v>0.0</v>
      </c>
      <c r="AB25" s="1">
        <v>13.0</v>
      </c>
      <c r="AC25" s="1">
        <v>0.0</v>
      </c>
      <c r="AD25" s="1">
        <v>13.0</v>
      </c>
      <c r="AE25" s="1">
        <v>4.28</v>
      </c>
      <c r="AF25" s="1">
        <v>0.0</v>
      </c>
      <c r="AG25" s="1">
        <v>0.0</v>
      </c>
      <c r="AH25" s="1">
        <v>11.0</v>
      </c>
      <c r="AI25" s="1">
        <v>1.0</v>
      </c>
      <c r="AJ25" s="1">
        <v>0.0</v>
      </c>
      <c r="AK25" s="1">
        <v>12.0</v>
      </c>
      <c r="AL25" s="1" t="s">
        <v>89</v>
      </c>
      <c r="AM25" s="1" t="s">
        <v>151</v>
      </c>
      <c r="AN25" s="1" t="s">
        <v>152</v>
      </c>
      <c r="AO25" s="1" t="s">
        <v>85</v>
      </c>
      <c r="AP25" s="1" t="s">
        <v>86</v>
      </c>
      <c r="AQ25" s="1" t="s">
        <v>107</v>
      </c>
      <c r="AR25" s="1" t="s">
        <v>77</v>
      </c>
      <c r="AS25" s="1">
        <f t="shared" ref="AS25:AT25" si="47">J25 + X25</f>
        <v>489</v>
      </c>
      <c r="AT25" s="4">
        <f t="shared" si="47"/>
        <v>18</v>
      </c>
      <c r="AU25" s="4">
        <f t="shared" ref="AU25:AV25" si="48">N25 + AB25</f>
        <v>55</v>
      </c>
      <c r="AV25" s="4">
        <f t="shared" si="48"/>
        <v>15</v>
      </c>
    </row>
    <row r="26">
      <c r="A26" s="1">
        <v>25.0</v>
      </c>
      <c r="B26" s="1" t="s">
        <v>153</v>
      </c>
      <c r="C26" s="3">
        <v>0.5833333333333334</v>
      </c>
      <c r="D26" s="1" t="s">
        <v>134</v>
      </c>
      <c r="E26" s="1" t="s">
        <v>135</v>
      </c>
      <c r="F26" s="1" t="s">
        <v>50</v>
      </c>
      <c r="G26" s="1" t="s">
        <v>81</v>
      </c>
      <c r="H26" s="1" t="s">
        <v>50</v>
      </c>
      <c r="I26" s="1" t="s">
        <v>91</v>
      </c>
      <c r="J26" s="1">
        <v>156.0</v>
      </c>
      <c r="K26" s="1">
        <v>10.0</v>
      </c>
      <c r="L26" s="1">
        <v>33.2</v>
      </c>
      <c r="M26" s="1">
        <v>0.0</v>
      </c>
      <c r="N26" s="1">
        <v>19.0</v>
      </c>
      <c r="O26" s="1">
        <v>1.0</v>
      </c>
      <c r="P26" s="1">
        <v>20.0</v>
      </c>
      <c r="Q26" s="1">
        <v>4.68</v>
      </c>
      <c r="R26" s="1">
        <v>0.0</v>
      </c>
      <c r="S26" s="1">
        <v>0.0</v>
      </c>
      <c r="T26" s="1">
        <v>3.0</v>
      </c>
      <c r="U26" s="1">
        <v>0.0</v>
      </c>
      <c r="V26" s="1">
        <v>0.0</v>
      </c>
      <c r="W26" s="1">
        <v>3.0</v>
      </c>
      <c r="X26" s="1">
        <v>160.0</v>
      </c>
      <c r="Y26" s="1">
        <v>2.0</v>
      </c>
      <c r="Z26" s="1">
        <v>25.4</v>
      </c>
      <c r="AA26" s="1">
        <v>2.0</v>
      </c>
      <c r="AB26" s="1">
        <v>17.0</v>
      </c>
      <c r="AC26" s="1">
        <v>3.0</v>
      </c>
      <c r="AD26" s="1">
        <v>20.0</v>
      </c>
      <c r="AE26" s="1">
        <v>6.23</v>
      </c>
      <c r="AF26" s="1">
        <v>3.0</v>
      </c>
      <c r="AG26" s="1">
        <v>0.0</v>
      </c>
      <c r="AH26" s="1">
        <v>4.0</v>
      </c>
      <c r="AI26" s="1">
        <v>0.0</v>
      </c>
      <c r="AJ26" s="1">
        <v>0.0</v>
      </c>
      <c r="AK26" s="1">
        <v>7.0</v>
      </c>
      <c r="AL26" s="1" t="s">
        <v>81</v>
      </c>
      <c r="AM26" s="1" t="s">
        <v>105</v>
      </c>
      <c r="AN26" s="1" t="s">
        <v>154</v>
      </c>
      <c r="AO26" s="1" t="s">
        <v>66</v>
      </c>
      <c r="AP26" s="1" t="s">
        <v>65</v>
      </c>
      <c r="AQ26" s="1" t="s">
        <v>76</v>
      </c>
      <c r="AR26" s="1" t="s">
        <v>58</v>
      </c>
      <c r="AS26" s="1">
        <f t="shared" ref="AS26:AT26" si="49">J26 + X26</f>
        <v>316</v>
      </c>
      <c r="AT26" s="4">
        <f t="shared" si="49"/>
        <v>12</v>
      </c>
      <c r="AU26" s="4">
        <f t="shared" ref="AU26:AV26" si="50">N26 + AB26</f>
        <v>36</v>
      </c>
      <c r="AV26" s="4">
        <f t="shared" si="50"/>
        <v>4</v>
      </c>
    </row>
    <row r="27">
      <c r="A27" s="1">
        <v>26.0</v>
      </c>
      <c r="B27" s="1" t="s">
        <v>155</v>
      </c>
      <c r="C27" s="3">
        <v>0.5833333333333334</v>
      </c>
      <c r="D27" s="1" t="s">
        <v>87</v>
      </c>
      <c r="E27" s="1" t="s">
        <v>88</v>
      </c>
      <c r="F27" s="1" t="s">
        <v>61</v>
      </c>
      <c r="G27" s="1" t="s">
        <v>80</v>
      </c>
      <c r="H27" s="1" t="s">
        <v>61</v>
      </c>
      <c r="I27" s="1" t="s">
        <v>91</v>
      </c>
      <c r="J27" s="1">
        <v>270.0</v>
      </c>
      <c r="K27" s="1">
        <v>10.0</v>
      </c>
      <c r="L27" s="1">
        <v>46.4</v>
      </c>
      <c r="M27" s="1">
        <v>1.0</v>
      </c>
      <c r="N27" s="1">
        <v>23.0</v>
      </c>
      <c r="O27" s="1">
        <v>8.0</v>
      </c>
      <c r="P27" s="1">
        <v>31.0</v>
      </c>
      <c r="Q27" s="1">
        <v>5.78</v>
      </c>
      <c r="R27" s="1">
        <v>5.0</v>
      </c>
      <c r="S27" s="1">
        <v>1.0</v>
      </c>
      <c r="T27" s="1">
        <v>15.0</v>
      </c>
      <c r="U27" s="1">
        <v>0.0</v>
      </c>
      <c r="V27" s="1">
        <v>0.0</v>
      </c>
      <c r="W27" s="1">
        <v>21.0</v>
      </c>
      <c r="X27" s="1">
        <v>271.0</v>
      </c>
      <c r="Y27" s="1">
        <v>9.0</v>
      </c>
      <c r="Z27" s="1">
        <v>47.2</v>
      </c>
      <c r="AA27" s="1">
        <v>1.0</v>
      </c>
      <c r="AB27" s="1">
        <v>21.0</v>
      </c>
      <c r="AC27" s="1">
        <v>8.0</v>
      </c>
      <c r="AD27" s="1">
        <v>29.0</v>
      </c>
      <c r="AE27" s="1">
        <v>5.22</v>
      </c>
      <c r="AF27" s="1">
        <v>0.0</v>
      </c>
      <c r="AG27" s="1">
        <v>4.0</v>
      </c>
      <c r="AH27" s="1">
        <v>11.0</v>
      </c>
      <c r="AI27" s="1">
        <v>4.0</v>
      </c>
      <c r="AJ27" s="1">
        <v>0.0</v>
      </c>
      <c r="AK27" s="1">
        <v>19.0</v>
      </c>
      <c r="AL27" s="1" t="s">
        <v>80</v>
      </c>
      <c r="AM27" s="1" t="s">
        <v>156</v>
      </c>
      <c r="AN27" s="1" t="s">
        <v>157</v>
      </c>
      <c r="AO27" s="1" t="s">
        <v>100</v>
      </c>
      <c r="AP27" s="1" t="s">
        <v>104</v>
      </c>
      <c r="AQ27" s="1" t="s">
        <v>84</v>
      </c>
      <c r="AR27" s="1" t="s">
        <v>96</v>
      </c>
      <c r="AS27" s="1">
        <f t="shared" ref="AS27:AT27" si="51">J27 + X27</f>
        <v>541</v>
      </c>
      <c r="AT27" s="4">
        <f t="shared" si="51"/>
        <v>19</v>
      </c>
      <c r="AU27" s="4">
        <f t="shared" ref="AU27:AV27" si="52">N27 + AB27</f>
        <v>44</v>
      </c>
      <c r="AV27" s="4">
        <f t="shared" si="52"/>
        <v>16</v>
      </c>
    </row>
    <row r="28">
      <c r="A28" s="1">
        <v>27.0</v>
      </c>
      <c r="B28" s="1" t="s">
        <v>158</v>
      </c>
      <c r="C28" s="3">
        <v>0.4375</v>
      </c>
      <c r="D28" s="1" t="s">
        <v>69</v>
      </c>
      <c r="E28" s="1" t="s">
        <v>70</v>
      </c>
      <c r="F28" s="1" t="s">
        <v>89</v>
      </c>
      <c r="G28" s="1" t="s">
        <v>51</v>
      </c>
      <c r="H28" s="1" t="s">
        <v>51</v>
      </c>
      <c r="I28" s="1" t="s">
        <v>52</v>
      </c>
      <c r="J28" s="1">
        <v>388.0</v>
      </c>
      <c r="K28" s="1">
        <v>10.0</v>
      </c>
      <c r="L28" s="1">
        <v>49.2</v>
      </c>
      <c r="M28" s="1">
        <v>0.0</v>
      </c>
      <c r="N28" s="1">
        <v>32.0</v>
      </c>
      <c r="O28" s="1">
        <v>20.0</v>
      </c>
      <c r="P28" s="1">
        <v>52.0</v>
      </c>
      <c r="Q28" s="1">
        <v>7.86</v>
      </c>
      <c r="R28" s="1">
        <v>4.0</v>
      </c>
      <c r="S28" s="1">
        <v>0.0</v>
      </c>
      <c r="T28" s="1">
        <v>22.0</v>
      </c>
      <c r="U28" s="1">
        <v>0.0</v>
      </c>
      <c r="V28" s="1">
        <v>0.0</v>
      </c>
      <c r="W28" s="1">
        <v>26.0</v>
      </c>
      <c r="X28" s="1">
        <v>383.0</v>
      </c>
      <c r="Y28" s="1">
        <v>9.0</v>
      </c>
      <c r="Z28" s="1">
        <v>50.0</v>
      </c>
      <c r="AA28" s="1">
        <v>0.0</v>
      </c>
      <c r="AB28" s="1">
        <v>33.0</v>
      </c>
      <c r="AC28" s="1">
        <v>12.0</v>
      </c>
      <c r="AD28" s="1">
        <v>45.0</v>
      </c>
      <c r="AE28" s="1">
        <v>7.66</v>
      </c>
      <c r="AF28" s="1">
        <v>0.0</v>
      </c>
      <c r="AG28" s="1">
        <v>1.0</v>
      </c>
      <c r="AH28" s="1">
        <v>6.0</v>
      </c>
      <c r="AI28" s="1">
        <v>2.0</v>
      </c>
      <c r="AJ28" s="1">
        <v>0.0</v>
      </c>
      <c r="AK28" s="1">
        <v>9.0</v>
      </c>
      <c r="AL28" s="1" t="s">
        <v>89</v>
      </c>
      <c r="AM28" s="1" t="s">
        <v>159</v>
      </c>
      <c r="AN28" s="1" t="s">
        <v>160</v>
      </c>
      <c r="AO28" s="1" t="s">
        <v>85</v>
      </c>
      <c r="AP28" s="1" t="s">
        <v>107</v>
      </c>
      <c r="AQ28" s="1" t="s">
        <v>56</v>
      </c>
      <c r="AR28" s="1" t="s">
        <v>77</v>
      </c>
      <c r="AS28" s="1">
        <f t="shared" ref="AS28:AT28" si="53">J28 + X28</f>
        <v>771</v>
      </c>
      <c r="AT28" s="4">
        <f t="shared" si="53"/>
        <v>19</v>
      </c>
      <c r="AU28" s="4">
        <f t="shared" ref="AU28:AV28" si="54">N28 + AB28</f>
        <v>65</v>
      </c>
      <c r="AV28" s="4">
        <f t="shared" si="54"/>
        <v>32</v>
      </c>
    </row>
    <row r="29">
      <c r="A29" s="1">
        <v>28.0</v>
      </c>
      <c r="B29" s="1" t="s">
        <v>158</v>
      </c>
      <c r="C29" s="3">
        <v>0.5833333333333334</v>
      </c>
      <c r="D29" s="1" t="s">
        <v>161</v>
      </c>
      <c r="E29" s="1" t="s">
        <v>60</v>
      </c>
      <c r="F29" s="1" t="s">
        <v>62</v>
      </c>
      <c r="G29" s="1" t="s">
        <v>72</v>
      </c>
      <c r="H29" s="1" t="s">
        <v>62</v>
      </c>
      <c r="I29" s="1" t="s">
        <v>91</v>
      </c>
      <c r="J29" s="1">
        <v>142.0</v>
      </c>
      <c r="K29" s="1">
        <v>10.0</v>
      </c>
      <c r="L29" s="1">
        <v>42.2</v>
      </c>
      <c r="M29" s="1">
        <v>5.0</v>
      </c>
      <c r="N29" s="1">
        <v>22.0</v>
      </c>
      <c r="O29" s="1">
        <v>2.0</v>
      </c>
      <c r="P29" s="1">
        <v>24.0</v>
      </c>
      <c r="Q29" s="1">
        <v>3.35</v>
      </c>
      <c r="R29" s="1">
        <v>0.0</v>
      </c>
      <c r="S29" s="1">
        <v>0.0</v>
      </c>
      <c r="T29" s="1">
        <v>6.0</v>
      </c>
      <c r="U29" s="1">
        <v>0.0</v>
      </c>
      <c r="V29" s="1">
        <v>0.0</v>
      </c>
      <c r="W29" s="1">
        <v>6.0</v>
      </c>
      <c r="X29" s="1">
        <v>229.0</v>
      </c>
      <c r="Y29" s="1">
        <v>10.0</v>
      </c>
      <c r="Z29" s="1">
        <v>50.0</v>
      </c>
      <c r="AA29" s="1">
        <v>3.0</v>
      </c>
      <c r="AB29" s="1">
        <v>16.0</v>
      </c>
      <c r="AC29" s="1">
        <v>2.0</v>
      </c>
      <c r="AD29" s="1">
        <v>18.0</v>
      </c>
      <c r="AE29" s="1">
        <v>4.58</v>
      </c>
      <c r="AF29" s="1">
        <v>1.0</v>
      </c>
      <c r="AG29" s="1">
        <v>4.0</v>
      </c>
      <c r="AH29" s="1">
        <v>7.0</v>
      </c>
      <c r="AI29" s="1">
        <v>0.0</v>
      </c>
      <c r="AJ29" s="1">
        <v>0.0</v>
      </c>
      <c r="AK29" s="1">
        <v>12.0</v>
      </c>
      <c r="AL29" s="1" t="s">
        <v>62</v>
      </c>
      <c r="AM29" s="1" t="s">
        <v>162</v>
      </c>
      <c r="AN29" s="1" t="s">
        <v>163</v>
      </c>
      <c r="AO29" s="1" t="s">
        <v>75</v>
      </c>
      <c r="AP29" s="1" t="s">
        <v>57</v>
      </c>
      <c r="AQ29" s="1" t="s">
        <v>55</v>
      </c>
      <c r="AR29" s="1" t="s">
        <v>68</v>
      </c>
      <c r="AS29" s="1">
        <f t="shared" ref="AS29:AT29" si="55">J29 + X29</f>
        <v>371</v>
      </c>
      <c r="AT29" s="4">
        <f t="shared" si="55"/>
        <v>20</v>
      </c>
      <c r="AU29" s="4">
        <f t="shared" ref="AU29:AV29" si="56">N29 + AB29</f>
        <v>38</v>
      </c>
      <c r="AV29" s="4">
        <f t="shared" si="56"/>
        <v>4</v>
      </c>
    </row>
    <row r="30">
      <c r="A30" s="1">
        <v>29.0</v>
      </c>
      <c r="B30" s="1" t="s">
        <v>164</v>
      </c>
      <c r="C30" s="3">
        <v>0.5833333333333334</v>
      </c>
      <c r="D30" s="1" t="s">
        <v>108</v>
      </c>
      <c r="E30" s="1" t="s">
        <v>109</v>
      </c>
      <c r="F30" s="1" t="s">
        <v>90</v>
      </c>
      <c r="G30" s="1" t="s">
        <v>50</v>
      </c>
      <c r="H30" s="1" t="s">
        <v>50</v>
      </c>
      <c r="I30" s="1" t="s">
        <v>52</v>
      </c>
      <c r="J30" s="1">
        <v>229.0</v>
      </c>
      <c r="K30" s="1">
        <v>9.0</v>
      </c>
      <c r="L30" s="1">
        <v>50.0</v>
      </c>
      <c r="M30" s="1">
        <v>4.0</v>
      </c>
      <c r="N30" s="1">
        <v>20.0</v>
      </c>
      <c r="O30" s="1">
        <v>4.0</v>
      </c>
      <c r="P30" s="1">
        <v>24.0</v>
      </c>
      <c r="Q30" s="1">
        <v>4.58</v>
      </c>
      <c r="R30" s="1">
        <v>2.0</v>
      </c>
      <c r="S30" s="1">
        <v>0.0</v>
      </c>
      <c r="T30" s="1">
        <v>6.0</v>
      </c>
      <c r="U30" s="1">
        <v>0.0</v>
      </c>
      <c r="V30" s="1">
        <v>0.0</v>
      </c>
      <c r="W30" s="1">
        <v>8.0</v>
      </c>
      <c r="X30" s="1">
        <v>129.0</v>
      </c>
      <c r="Y30" s="1">
        <v>10.0</v>
      </c>
      <c r="Z30" s="1">
        <v>34.5</v>
      </c>
      <c r="AA30" s="1">
        <v>5.0</v>
      </c>
      <c r="AB30" s="1">
        <v>10.0</v>
      </c>
      <c r="AC30" s="1">
        <v>3.0</v>
      </c>
      <c r="AD30" s="1">
        <v>13.0</v>
      </c>
      <c r="AE30" s="1">
        <v>3.7</v>
      </c>
      <c r="AF30" s="1">
        <v>0.0</v>
      </c>
      <c r="AG30" s="1">
        <v>4.0</v>
      </c>
      <c r="AH30" s="1">
        <v>3.0</v>
      </c>
      <c r="AI30" s="1">
        <v>0.0</v>
      </c>
      <c r="AJ30" s="1">
        <v>0.0</v>
      </c>
      <c r="AK30" s="1">
        <v>7.0</v>
      </c>
      <c r="AL30" s="1" t="s">
        <v>90</v>
      </c>
      <c r="AM30" s="1" t="s">
        <v>165</v>
      </c>
      <c r="AN30" s="1" t="s">
        <v>106</v>
      </c>
      <c r="AO30" s="1" t="s">
        <v>67</v>
      </c>
      <c r="AP30" s="1" t="s">
        <v>65</v>
      </c>
      <c r="AQ30" s="1" t="s">
        <v>76</v>
      </c>
      <c r="AR30" s="1" t="s">
        <v>96</v>
      </c>
      <c r="AS30" s="1">
        <f t="shared" ref="AS30:AT30" si="57">J30 + X30</f>
        <v>358</v>
      </c>
      <c r="AT30" s="4">
        <f t="shared" si="57"/>
        <v>19</v>
      </c>
      <c r="AU30" s="4">
        <f t="shared" ref="AU30:AV30" si="58">N30 + AB30</f>
        <v>30</v>
      </c>
      <c r="AV30" s="4">
        <f t="shared" si="58"/>
        <v>7</v>
      </c>
    </row>
    <row r="31">
      <c r="A31" s="1">
        <v>30.0</v>
      </c>
      <c r="B31" s="1" t="s">
        <v>166</v>
      </c>
      <c r="C31" s="3">
        <v>0.5833333333333334</v>
      </c>
      <c r="D31" s="1" t="s">
        <v>130</v>
      </c>
      <c r="E31" s="1" t="s">
        <v>131</v>
      </c>
      <c r="F31" s="1" t="s">
        <v>81</v>
      </c>
      <c r="G31" s="1" t="s">
        <v>71</v>
      </c>
      <c r="H31" s="1" t="s">
        <v>71</v>
      </c>
      <c r="I31" s="1" t="s">
        <v>52</v>
      </c>
      <c r="J31" s="1">
        <v>241.0</v>
      </c>
      <c r="K31" s="1">
        <v>10.0</v>
      </c>
      <c r="L31" s="1">
        <v>49.3</v>
      </c>
      <c r="M31" s="1">
        <v>0.0</v>
      </c>
      <c r="N31" s="1">
        <v>19.0</v>
      </c>
      <c r="O31" s="1">
        <v>2.0</v>
      </c>
      <c r="P31" s="1">
        <v>21.0</v>
      </c>
      <c r="Q31" s="1">
        <v>4.86</v>
      </c>
      <c r="R31" s="1">
        <v>1.0</v>
      </c>
      <c r="S31" s="1">
        <v>0.0</v>
      </c>
      <c r="T31" s="1">
        <v>9.0</v>
      </c>
      <c r="U31" s="1">
        <v>0.0</v>
      </c>
      <c r="V31" s="1">
        <v>0.0</v>
      </c>
      <c r="W31" s="1">
        <v>10.0</v>
      </c>
      <c r="X31" s="1">
        <v>242.0</v>
      </c>
      <c r="Y31" s="1">
        <v>3.0</v>
      </c>
      <c r="Z31" s="1">
        <v>45.2</v>
      </c>
      <c r="AA31" s="1">
        <v>1.0</v>
      </c>
      <c r="AB31" s="1">
        <v>19.0</v>
      </c>
      <c r="AC31" s="1">
        <v>5.0</v>
      </c>
      <c r="AD31" s="1">
        <v>24.0</v>
      </c>
      <c r="AE31" s="1">
        <v>5.33</v>
      </c>
      <c r="AF31" s="1">
        <v>2.0</v>
      </c>
      <c r="AG31" s="1">
        <v>0.0</v>
      </c>
      <c r="AH31" s="1">
        <v>9.0</v>
      </c>
      <c r="AI31" s="1">
        <v>0.0</v>
      </c>
      <c r="AJ31" s="1">
        <v>0.0</v>
      </c>
      <c r="AK31" s="1">
        <v>11.0</v>
      </c>
      <c r="AL31" s="1" t="s">
        <v>71</v>
      </c>
      <c r="AM31" s="1" t="s">
        <v>115</v>
      </c>
      <c r="AN31" s="1" t="s">
        <v>167</v>
      </c>
      <c r="AO31" s="1" t="s">
        <v>84</v>
      </c>
      <c r="AP31" s="1" t="s">
        <v>94</v>
      </c>
      <c r="AQ31" s="1" t="s">
        <v>104</v>
      </c>
      <c r="AR31" s="1" t="s">
        <v>58</v>
      </c>
      <c r="AS31" s="1">
        <f t="shared" ref="AS31:AT31" si="59">J31 + X31</f>
        <v>483</v>
      </c>
      <c r="AT31" s="4">
        <f t="shared" si="59"/>
        <v>13</v>
      </c>
      <c r="AU31" s="4">
        <f t="shared" ref="AU31:AV31" si="60">N31 + AB31</f>
        <v>38</v>
      </c>
      <c r="AV31" s="4">
        <f t="shared" si="60"/>
        <v>7</v>
      </c>
    </row>
    <row r="32">
      <c r="A32" s="1">
        <v>31.0</v>
      </c>
      <c r="B32" s="1" t="s">
        <v>168</v>
      </c>
      <c r="C32" s="3">
        <v>0.5833333333333334</v>
      </c>
      <c r="D32" s="1" t="s">
        <v>161</v>
      </c>
      <c r="E32" s="1" t="s">
        <v>60</v>
      </c>
      <c r="F32" s="1" t="s">
        <v>72</v>
      </c>
      <c r="G32" s="1" t="s">
        <v>61</v>
      </c>
      <c r="H32" s="1" t="s">
        <v>72</v>
      </c>
      <c r="I32" s="1" t="s">
        <v>91</v>
      </c>
      <c r="J32" s="1">
        <v>205.0</v>
      </c>
      <c r="K32" s="1">
        <v>3.0</v>
      </c>
      <c r="L32" s="1">
        <v>32.3</v>
      </c>
      <c r="M32" s="1">
        <v>2.0</v>
      </c>
      <c r="N32" s="1">
        <v>19.0</v>
      </c>
      <c r="O32" s="1">
        <v>3.0</v>
      </c>
      <c r="P32" s="1">
        <v>22.0</v>
      </c>
      <c r="Q32" s="1">
        <v>6.3</v>
      </c>
      <c r="R32" s="1">
        <v>2.0</v>
      </c>
      <c r="S32" s="1">
        <v>0.0</v>
      </c>
      <c r="T32" s="1">
        <v>2.0</v>
      </c>
      <c r="U32" s="1">
        <v>0.0</v>
      </c>
      <c r="V32" s="1">
        <v>0.0</v>
      </c>
      <c r="W32" s="1">
        <v>4.0</v>
      </c>
      <c r="X32" s="1">
        <v>204.0</v>
      </c>
      <c r="Y32" s="1">
        <v>10.0</v>
      </c>
      <c r="Z32" s="1">
        <v>45.1</v>
      </c>
      <c r="AA32" s="1">
        <v>2.0</v>
      </c>
      <c r="AB32" s="1">
        <v>19.0</v>
      </c>
      <c r="AC32" s="1">
        <v>9.0</v>
      </c>
      <c r="AD32" s="1">
        <v>28.0</v>
      </c>
      <c r="AE32" s="1">
        <v>4.51</v>
      </c>
      <c r="AF32" s="1">
        <v>4.0</v>
      </c>
      <c r="AG32" s="1">
        <v>0.0</v>
      </c>
      <c r="AH32" s="1">
        <v>5.0</v>
      </c>
      <c r="AI32" s="1">
        <v>0.0</v>
      </c>
      <c r="AJ32" s="1">
        <v>0.0</v>
      </c>
      <c r="AK32" s="1">
        <v>9.0</v>
      </c>
      <c r="AL32" s="1" t="s">
        <v>61</v>
      </c>
      <c r="AM32" s="1" t="s">
        <v>115</v>
      </c>
      <c r="AN32" s="1" t="s">
        <v>169</v>
      </c>
      <c r="AO32" s="1" t="s">
        <v>95</v>
      </c>
      <c r="AP32" s="1" t="s">
        <v>56</v>
      </c>
      <c r="AQ32" s="1" t="s">
        <v>65</v>
      </c>
      <c r="AR32" s="1" t="s">
        <v>77</v>
      </c>
      <c r="AS32" s="1">
        <f t="shared" ref="AS32:AT32" si="61">J32 + X32</f>
        <v>409</v>
      </c>
      <c r="AT32" s="4">
        <f t="shared" si="61"/>
        <v>13</v>
      </c>
      <c r="AU32" s="4">
        <f t="shared" ref="AU32:AV32" si="62">N32 + AB32</f>
        <v>38</v>
      </c>
      <c r="AV32" s="4">
        <f t="shared" si="62"/>
        <v>12</v>
      </c>
    </row>
    <row r="33">
      <c r="A33" s="1">
        <v>32.0</v>
      </c>
      <c r="B33" s="2">
        <v>44937.0</v>
      </c>
      <c r="C33" s="3">
        <v>0.5833333333333334</v>
      </c>
      <c r="D33" s="1" t="s">
        <v>130</v>
      </c>
      <c r="E33" s="1" t="s">
        <v>131</v>
      </c>
      <c r="F33" s="1" t="s">
        <v>80</v>
      </c>
      <c r="G33" s="1" t="s">
        <v>51</v>
      </c>
      <c r="H33" s="1" t="s">
        <v>51</v>
      </c>
      <c r="I33" s="1" t="s">
        <v>52</v>
      </c>
      <c r="J33" s="1">
        <v>357.0</v>
      </c>
      <c r="K33" s="1">
        <v>4.0</v>
      </c>
      <c r="L33" s="1">
        <v>50.0</v>
      </c>
      <c r="M33" s="1">
        <v>4.0</v>
      </c>
      <c r="N33" s="1">
        <v>26.0</v>
      </c>
      <c r="O33" s="1">
        <v>15.0</v>
      </c>
      <c r="P33" s="1">
        <v>41.0</v>
      </c>
      <c r="Q33" s="1">
        <v>7.14</v>
      </c>
      <c r="R33" s="1">
        <v>1.0</v>
      </c>
      <c r="S33" s="1">
        <v>4.0</v>
      </c>
      <c r="T33" s="1">
        <v>6.0</v>
      </c>
      <c r="U33" s="1">
        <v>1.0</v>
      </c>
      <c r="V33" s="1">
        <v>0.0</v>
      </c>
      <c r="W33" s="1">
        <v>12.0</v>
      </c>
      <c r="X33" s="1">
        <v>167.0</v>
      </c>
      <c r="Y33" s="1">
        <v>10.0</v>
      </c>
      <c r="Z33" s="1">
        <v>35.3</v>
      </c>
      <c r="AA33" s="1">
        <v>1.0</v>
      </c>
      <c r="AB33" s="1">
        <v>17.0</v>
      </c>
      <c r="AC33" s="1">
        <v>4.0</v>
      </c>
      <c r="AD33" s="1">
        <v>21.0</v>
      </c>
      <c r="AE33" s="1">
        <v>4.7</v>
      </c>
      <c r="AF33" s="1">
        <v>4.0</v>
      </c>
      <c r="AG33" s="1">
        <v>0.0</v>
      </c>
      <c r="AH33" s="1">
        <v>8.0</v>
      </c>
      <c r="AI33" s="1">
        <v>0.0</v>
      </c>
      <c r="AJ33" s="1">
        <v>0.0</v>
      </c>
      <c r="AK33" s="1">
        <v>12.0</v>
      </c>
      <c r="AL33" s="1" t="s">
        <v>80</v>
      </c>
      <c r="AM33" s="1" t="s">
        <v>170</v>
      </c>
      <c r="AN33" s="1" t="s">
        <v>171</v>
      </c>
      <c r="AO33" s="1" t="s">
        <v>55</v>
      </c>
      <c r="AP33" s="1" t="s">
        <v>76</v>
      </c>
      <c r="AQ33" s="1" t="s">
        <v>85</v>
      </c>
      <c r="AR33" s="1" t="s">
        <v>96</v>
      </c>
      <c r="AS33" s="1">
        <f t="shared" ref="AS33:AT33" si="63">J33 + X33</f>
        <v>524</v>
      </c>
      <c r="AT33" s="4">
        <f t="shared" si="63"/>
        <v>14</v>
      </c>
      <c r="AU33" s="4">
        <f t="shared" ref="AU33:AV33" si="64">N33 + AB33</f>
        <v>43</v>
      </c>
      <c r="AV33" s="4">
        <f t="shared" si="64"/>
        <v>19</v>
      </c>
    </row>
    <row r="34">
      <c r="A34" s="1">
        <v>33.0</v>
      </c>
      <c r="B34" s="2">
        <v>44968.0</v>
      </c>
      <c r="C34" s="3">
        <v>0.5833333333333334</v>
      </c>
      <c r="D34" s="1" t="s">
        <v>140</v>
      </c>
      <c r="E34" s="1" t="s">
        <v>141</v>
      </c>
      <c r="F34" s="1" t="s">
        <v>90</v>
      </c>
      <c r="G34" s="1" t="s">
        <v>81</v>
      </c>
      <c r="H34" s="1" t="s">
        <v>81</v>
      </c>
      <c r="I34" s="1" t="s">
        <v>52</v>
      </c>
      <c r="J34" s="1">
        <v>357.0</v>
      </c>
      <c r="K34" s="1">
        <v>8.0</v>
      </c>
      <c r="L34" s="1">
        <v>50.0</v>
      </c>
      <c r="M34" s="1">
        <v>4.0</v>
      </c>
      <c r="N34" s="1">
        <v>31.0</v>
      </c>
      <c r="O34" s="1">
        <v>9.0</v>
      </c>
      <c r="P34" s="1">
        <v>40.0</v>
      </c>
      <c r="Q34" s="1">
        <v>7.14</v>
      </c>
      <c r="R34" s="1">
        <v>1.0</v>
      </c>
      <c r="S34" s="1">
        <v>5.0</v>
      </c>
      <c r="T34" s="1">
        <v>4.0</v>
      </c>
      <c r="U34" s="1">
        <v>0.0</v>
      </c>
      <c r="V34" s="1">
        <v>0.0</v>
      </c>
      <c r="W34" s="1">
        <v>10.0</v>
      </c>
      <c r="X34" s="1">
        <v>55.0</v>
      </c>
      <c r="Y34" s="1">
        <v>10.0</v>
      </c>
      <c r="Z34" s="1">
        <v>19.4</v>
      </c>
      <c r="AA34" s="1">
        <v>2.0</v>
      </c>
      <c r="AB34" s="1">
        <v>6.0</v>
      </c>
      <c r="AC34" s="1">
        <v>0.0</v>
      </c>
      <c r="AD34" s="1">
        <v>6.0</v>
      </c>
      <c r="AE34" s="1">
        <v>2.79</v>
      </c>
      <c r="AF34" s="1">
        <v>6.0</v>
      </c>
      <c r="AG34" s="1">
        <v>5.0</v>
      </c>
      <c r="AH34" s="1">
        <v>8.0</v>
      </c>
      <c r="AI34" s="1">
        <v>1.0</v>
      </c>
      <c r="AJ34" s="1">
        <v>0.0</v>
      </c>
      <c r="AK34" s="1">
        <v>20.0</v>
      </c>
      <c r="AL34" s="1" t="s">
        <v>90</v>
      </c>
      <c r="AM34" s="1" t="s">
        <v>172</v>
      </c>
      <c r="AN34" s="1" t="s">
        <v>146</v>
      </c>
      <c r="AO34" s="1" t="s">
        <v>66</v>
      </c>
      <c r="AP34" s="1" t="s">
        <v>100</v>
      </c>
      <c r="AQ34" s="1" t="s">
        <v>67</v>
      </c>
      <c r="AR34" s="1" t="s">
        <v>68</v>
      </c>
      <c r="AS34" s="1">
        <f t="shared" ref="AS34:AT34" si="65">J34 + X34</f>
        <v>412</v>
      </c>
      <c r="AT34" s="4">
        <f t="shared" si="65"/>
        <v>18</v>
      </c>
      <c r="AU34" s="4">
        <f t="shared" ref="AU34:AV34" si="66">N34 + AB34</f>
        <v>37</v>
      </c>
      <c r="AV34" s="4">
        <f t="shared" si="66"/>
        <v>9</v>
      </c>
    </row>
    <row r="35">
      <c r="A35" s="1">
        <v>34.0</v>
      </c>
      <c r="B35" s="2">
        <v>44996.0</v>
      </c>
      <c r="C35" s="3">
        <v>0.4375</v>
      </c>
      <c r="D35" s="1" t="s">
        <v>108</v>
      </c>
      <c r="E35" s="1" t="s">
        <v>109</v>
      </c>
      <c r="F35" s="1" t="s">
        <v>62</v>
      </c>
      <c r="G35" s="1" t="s">
        <v>71</v>
      </c>
      <c r="H35" s="1" t="s">
        <v>62</v>
      </c>
      <c r="I35" s="1" t="s">
        <v>91</v>
      </c>
      <c r="J35" s="1">
        <v>181.0</v>
      </c>
      <c r="K35" s="1">
        <v>3.0</v>
      </c>
      <c r="L35" s="1">
        <v>31.3</v>
      </c>
      <c r="M35" s="1">
        <v>0.0</v>
      </c>
      <c r="N35" s="1">
        <v>19.0</v>
      </c>
      <c r="O35" s="1">
        <v>0.0</v>
      </c>
      <c r="P35" s="1">
        <v>19.0</v>
      </c>
      <c r="Q35" s="1">
        <v>5.74</v>
      </c>
      <c r="R35" s="1">
        <v>3.0</v>
      </c>
      <c r="S35" s="1">
        <v>0.0</v>
      </c>
      <c r="T35" s="1">
        <v>7.0</v>
      </c>
      <c r="U35" s="1">
        <v>2.0</v>
      </c>
      <c r="V35" s="1">
        <v>0.0</v>
      </c>
      <c r="W35" s="1">
        <v>12.0</v>
      </c>
      <c r="X35" s="1">
        <v>179.0</v>
      </c>
      <c r="Y35" s="1">
        <v>10.0</v>
      </c>
      <c r="Z35" s="1">
        <v>46.3</v>
      </c>
      <c r="AA35" s="1">
        <v>1.0</v>
      </c>
      <c r="AB35" s="1">
        <v>21.0</v>
      </c>
      <c r="AC35" s="1">
        <v>0.0</v>
      </c>
      <c r="AD35" s="1">
        <v>21.0</v>
      </c>
      <c r="AE35" s="1">
        <v>3.84</v>
      </c>
      <c r="AF35" s="1">
        <v>2.0</v>
      </c>
      <c r="AG35" s="1">
        <v>0.0</v>
      </c>
      <c r="AH35" s="1">
        <v>14.0</v>
      </c>
      <c r="AI35" s="1">
        <v>0.0</v>
      </c>
      <c r="AJ35" s="1">
        <v>0.0</v>
      </c>
      <c r="AK35" s="1">
        <v>16.0</v>
      </c>
      <c r="AL35" s="1" t="s">
        <v>71</v>
      </c>
      <c r="AM35" s="1" t="s">
        <v>115</v>
      </c>
      <c r="AN35" s="1" t="s">
        <v>173</v>
      </c>
      <c r="AO35" s="1" t="s">
        <v>56</v>
      </c>
      <c r="AP35" s="1" t="s">
        <v>85</v>
      </c>
      <c r="AQ35" s="1" t="s">
        <v>86</v>
      </c>
      <c r="AR35" s="1" t="s">
        <v>58</v>
      </c>
      <c r="AS35" s="1">
        <f t="shared" ref="AS35:AT35" si="67">J35 + X35</f>
        <v>360</v>
      </c>
      <c r="AT35" s="4">
        <f t="shared" si="67"/>
        <v>13</v>
      </c>
      <c r="AU35" s="4">
        <f t="shared" ref="AU35:AV35" si="68">N35 + AB35</f>
        <v>40</v>
      </c>
      <c r="AV35" s="4">
        <f t="shared" si="68"/>
        <v>0</v>
      </c>
    </row>
    <row r="36">
      <c r="A36" s="1">
        <v>35.0</v>
      </c>
      <c r="B36" s="2">
        <v>45027.0</v>
      </c>
      <c r="C36" s="3">
        <v>0.5833333333333334</v>
      </c>
      <c r="D36" s="1" t="s">
        <v>134</v>
      </c>
      <c r="E36" s="1" t="s">
        <v>135</v>
      </c>
      <c r="F36" s="1" t="s">
        <v>51</v>
      </c>
      <c r="G36" s="1" t="s">
        <v>61</v>
      </c>
      <c r="H36" s="1" t="s">
        <v>61</v>
      </c>
      <c r="I36" s="1" t="s">
        <v>52</v>
      </c>
      <c r="J36" s="1">
        <v>401.0</v>
      </c>
      <c r="K36" s="1">
        <v>6.0</v>
      </c>
      <c r="L36" s="1">
        <v>50.0</v>
      </c>
      <c r="M36" s="1">
        <v>1.0</v>
      </c>
      <c r="N36" s="1">
        <v>46.0</v>
      </c>
      <c r="O36" s="1">
        <v>8.0</v>
      </c>
      <c r="P36" s="1">
        <v>54.0</v>
      </c>
      <c r="Q36" s="1">
        <v>8.02</v>
      </c>
      <c r="R36" s="1">
        <v>1.0</v>
      </c>
      <c r="S36" s="1">
        <v>0.0</v>
      </c>
      <c r="T36" s="1">
        <v>3.0</v>
      </c>
      <c r="U36" s="1">
        <v>0.0</v>
      </c>
      <c r="V36" s="1">
        <v>0.0</v>
      </c>
      <c r="W36" s="1">
        <v>4.0</v>
      </c>
      <c r="X36" s="1">
        <v>200.0</v>
      </c>
      <c r="Y36" s="1">
        <v>1.0</v>
      </c>
      <c r="Z36" s="1">
        <v>25.3</v>
      </c>
      <c r="AA36" s="1">
        <v>0.0</v>
      </c>
      <c r="AB36" s="1">
        <v>15.0</v>
      </c>
      <c r="AC36" s="1">
        <v>13.0</v>
      </c>
      <c r="AD36" s="1">
        <v>28.0</v>
      </c>
      <c r="AE36" s="1">
        <v>7.84</v>
      </c>
      <c r="AF36" s="1">
        <v>8.0</v>
      </c>
      <c r="AG36" s="1">
        <v>0.0</v>
      </c>
      <c r="AH36" s="1">
        <v>17.0</v>
      </c>
      <c r="AI36" s="1">
        <v>1.0</v>
      </c>
      <c r="AJ36" s="1">
        <v>0.0</v>
      </c>
      <c r="AK36" s="1">
        <v>26.0</v>
      </c>
      <c r="AL36" s="1" t="s">
        <v>61</v>
      </c>
      <c r="AM36" s="1" t="s">
        <v>174</v>
      </c>
      <c r="AN36" s="1" t="s">
        <v>169</v>
      </c>
      <c r="AO36" s="1" t="s">
        <v>57</v>
      </c>
      <c r="AP36" s="1" t="s">
        <v>95</v>
      </c>
      <c r="AQ36" s="1" t="s">
        <v>84</v>
      </c>
      <c r="AR36" s="1" t="s">
        <v>96</v>
      </c>
      <c r="AS36" s="1">
        <f t="shared" ref="AS36:AT36" si="69">J36 + X36</f>
        <v>601</v>
      </c>
      <c r="AT36" s="4">
        <f t="shared" si="69"/>
        <v>7</v>
      </c>
      <c r="AU36" s="4">
        <f t="shared" ref="AU36:AV36" si="70">N36 + AB36</f>
        <v>61</v>
      </c>
      <c r="AV36" s="4">
        <f t="shared" si="70"/>
        <v>21</v>
      </c>
    </row>
    <row r="37">
      <c r="A37" s="1">
        <v>36.0</v>
      </c>
      <c r="B37" s="2">
        <v>45027.0</v>
      </c>
      <c r="C37" s="3">
        <v>0.5833333333333334</v>
      </c>
      <c r="D37" s="1" t="s">
        <v>48</v>
      </c>
      <c r="E37" s="1" t="s">
        <v>49</v>
      </c>
      <c r="F37" s="1" t="s">
        <v>89</v>
      </c>
      <c r="G37" s="1" t="s">
        <v>50</v>
      </c>
      <c r="H37" s="1" t="s">
        <v>50</v>
      </c>
      <c r="I37" s="1" t="s">
        <v>52</v>
      </c>
      <c r="J37" s="1">
        <v>286.0</v>
      </c>
      <c r="K37" s="1">
        <v>10.0</v>
      </c>
      <c r="L37" s="1">
        <v>49.3</v>
      </c>
      <c r="M37" s="1">
        <v>2.0</v>
      </c>
      <c r="N37" s="1">
        <v>25.0</v>
      </c>
      <c r="O37" s="1">
        <v>3.0</v>
      </c>
      <c r="P37" s="1">
        <v>28.0</v>
      </c>
      <c r="Q37" s="1">
        <v>5.77</v>
      </c>
      <c r="R37" s="1">
        <v>6.0</v>
      </c>
      <c r="S37" s="1">
        <v>0.0</v>
      </c>
      <c r="T37" s="1">
        <v>8.0</v>
      </c>
      <c r="U37" s="1">
        <v>0.0</v>
      </c>
      <c r="V37" s="1">
        <v>0.0</v>
      </c>
      <c r="W37" s="1">
        <v>14.0</v>
      </c>
      <c r="X37" s="1">
        <v>253.0</v>
      </c>
      <c r="Y37" s="1">
        <v>10.0</v>
      </c>
      <c r="Z37" s="1">
        <v>48.1</v>
      </c>
      <c r="AA37" s="1">
        <v>1.0</v>
      </c>
      <c r="AB37" s="1">
        <v>22.0</v>
      </c>
      <c r="AC37" s="1">
        <v>6.0</v>
      </c>
      <c r="AD37" s="1">
        <v>28.0</v>
      </c>
      <c r="AE37" s="1">
        <v>5.25</v>
      </c>
      <c r="AF37" s="1">
        <v>6.0</v>
      </c>
      <c r="AG37" s="1">
        <v>0.0</v>
      </c>
      <c r="AH37" s="1">
        <v>4.0</v>
      </c>
      <c r="AI37" s="1">
        <v>0.0</v>
      </c>
      <c r="AJ37" s="1">
        <v>0.0</v>
      </c>
      <c r="AK37" s="1">
        <v>10.0</v>
      </c>
      <c r="AL37" s="1" t="s">
        <v>89</v>
      </c>
      <c r="AM37" s="1" t="s">
        <v>175</v>
      </c>
      <c r="AN37" s="1" t="s">
        <v>122</v>
      </c>
      <c r="AO37" s="1" t="s">
        <v>94</v>
      </c>
      <c r="AP37" s="1" t="s">
        <v>107</v>
      </c>
      <c r="AQ37" s="1" t="s">
        <v>65</v>
      </c>
      <c r="AR37" s="1" t="s">
        <v>68</v>
      </c>
      <c r="AS37" s="1">
        <f t="shared" ref="AS37:AT37" si="71">J37 + X37</f>
        <v>539</v>
      </c>
      <c r="AT37" s="4">
        <f t="shared" si="71"/>
        <v>20</v>
      </c>
      <c r="AU37" s="4">
        <f t="shared" ref="AU37:AV37" si="72">N37 + AB37</f>
        <v>47</v>
      </c>
      <c r="AV37" s="4">
        <f t="shared" si="72"/>
        <v>9</v>
      </c>
    </row>
    <row r="38">
      <c r="A38" s="1">
        <v>37.0</v>
      </c>
      <c r="B38" s="2">
        <v>45057.0</v>
      </c>
      <c r="C38" s="3">
        <v>0.5833333333333334</v>
      </c>
      <c r="D38" s="1" t="s">
        <v>161</v>
      </c>
      <c r="E38" s="1" t="s">
        <v>60</v>
      </c>
      <c r="F38" s="1" t="s">
        <v>90</v>
      </c>
      <c r="G38" s="1" t="s">
        <v>80</v>
      </c>
      <c r="H38" s="1" t="s">
        <v>90</v>
      </c>
      <c r="I38" s="1" t="s">
        <v>91</v>
      </c>
      <c r="J38" s="1">
        <v>326.0</v>
      </c>
      <c r="K38" s="1">
        <v>5.0</v>
      </c>
      <c r="L38" s="1">
        <v>50.0</v>
      </c>
      <c r="M38" s="1">
        <v>3.0</v>
      </c>
      <c r="N38" s="1">
        <v>35.0</v>
      </c>
      <c r="O38" s="1">
        <v>6.0</v>
      </c>
      <c r="P38" s="1">
        <v>41.0</v>
      </c>
      <c r="Q38" s="1">
        <v>6.52</v>
      </c>
      <c r="R38" s="1">
        <v>0.0</v>
      </c>
      <c r="S38" s="1">
        <v>0.0</v>
      </c>
      <c r="T38" s="1">
        <v>2.0</v>
      </c>
      <c r="U38" s="1">
        <v>0.0</v>
      </c>
      <c r="V38" s="1">
        <v>0.0</v>
      </c>
      <c r="W38" s="1">
        <v>2.0</v>
      </c>
      <c r="X38" s="1">
        <v>83.0</v>
      </c>
      <c r="Y38" s="1">
        <v>10.0</v>
      </c>
      <c r="Z38" s="1">
        <v>27.1</v>
      </c>
      <c r="AA38" s="1">
        <v>1.0</v>
      </c>
      <c r="AB38" s="1">
        <v>10.0</v>
      </c>
      <c r="AC38" s="1">
        <v>0.0</v>
      </c>
      <c r="AD38" s="1">
        <v>10.0</v>
      </c>
      <c r="AE38" s="1">
        <v>3.05</v>
      </c>
      <c r="AF38" s="1">
        <v>2.0</v>
      </c>
      <c r="AG38" s="1">
        <v>0.0</v>
      </c>
      <c r="AH38" s="1">
        <v>22.0</v>
      </c>
      <c r="AI38" s="1">
        <v>2.0</v>
      </c>
      <c r="AJ38" s="1">
        <v>0.0</v>
      </c>
      <c r="AK38" s="1">
        <v>26.0</v>
      </c>
      <c r="AL38" s="1" t="s">
        <v>90</v>
      </c>
      <c r="AM38" s="1" t="s">
        <v>176</v>
      </c>
      <c r="AN38" s="1" t="s">
        <v>132</v>
      </c>
      <c r="AO38" s="1" t="s">
        <v>100</v>
      </c>
      <c r="AP38" s="1" t="s">
        <v>55</v>
      </c>
      <c r="AQ38" s="1" t="s">
        <v>66</v>
      </c>
      <c r="AR38" s="1" t="s">
        <v>77</v>
      </c>
      <c r="AS38" s="1">
        <f t="shared" ref="AS38:AT38" si="73">J38 + X38</f>
        <v>409</v>
      </c>
      <c r="AT38" s="4">
        <f t="shared" si="73"/>
        <v>15</v>
      </c>
      <c r="AU38" s="4">
        <f t="shared" ref="AU38:AV38" si="74">N38 + AB38</f>
        <v>45</v>
      </c>
      <c r="AV38" s="4">
        <f t="shared" si="74"/>
        <v>6</v>
      </c>
    </row>
    <row r="39">
      <c r="A39" s="1">
        <v>38.0</v>
      </c>
      <c r="B39" s="2">
        <v>45088.0</v>
      </c>
      <c r="C39" s="3">
        <v>0.5833333333333334</v>
      </c>
      <c r="D39" s="1" t="s">
        <v>78</v>
      </c>
      <c r="E39" s="1" t="s">
        <v>79</v>
      </c>
      <c r="F39" s="1" t="s">
        <v>81</v>
      </c>
      <c r="G39" s="1" t="s">
        <v>72</v>
      </c>
      <c r="H39" s="1" t="s">
        <v>72</v>
      </c>
      <c r="I39" s="1" t="s">
        <v>52</v>
      </c>
      <c r="J39" s="1">
        <v>279.0</v>
      </c>
      <c r="K39" s="1">
        <v>10.0</v>
      </c>
      <c r="L39" s="1">
        <v>49.3</v>
      </c>
      <c r="M39" s="1">
        <v>2.0</v>
      </c>
      <c r="N39" s="1">
        <v>27.0</v>
      </c>
      <c r="O39" s="1">
        <v>7.0</v>
      </c>
      <c r="P39" s="1">
        <v>34.0</v>
      </c>
      <c r="Q39" s="1">
        <v>5.63</v>
      </c>
      <c r="R39" s="1">
        <v>13.0</v>
      </c>
      <c r="S39" s="1">
        <v>0.0</v>
      </c>
      <c r="T39" s="1">
        <v>10.0</v>
      </c>
      <c r="U39" s="1">
        <v>0.0</v>
      </c>
      <c r="V39" s="1">
        <v>0.0</v>
      </c>
      <c r="W39" s="1">
        <v>23.0</v>
      </c>
      <c r="X39" s="1">
        <v>282.0</v>
      </c>
      <c r="Y39" s="1">
        <v>7.0</v>
      </c>
      <c r="Z39" s="1">
        <v>41.1</v>
      </c>
      <c r="AA39" s="1">
        <v>1.0</v>
      </c>
      <c r="AB39" s="1">
        <v>33.0</v>
      </c>
      <c r="AC39" s="1">
        <v>7.0</v>
      </c>
      <c r="AD39" s="1">
        <v>40.0</v>
      </c>
      <c r="AE39" s="1">
        <v>6.85</v>
      </c>
      <c r="AF39" s="1">
        <v>2.0</v>
      </c>
      <c r="AG39" s="1">
        <v>0.0</v>
      </c>
      <c r="AH39" s="1">
        <v>4.0</v>
      </c>
      <c r="AI39" s="1">
        <v>0.0</v>
      </c>
      <c r="AJ39" s="1">
        <v>0.0</v>
      </c>
      <c r="AK39" s="1">
        <v>6.0</v>
      </c>
      <c r="AL39" s="1" t="s">
        <v>72</v>
      </c>
      <c r="AM39" s="1" t="s">
        <v>177</v>
      </c>
      <c r="AN39" s="1" t="s">
        <v>178</v>
      </c>
      <c r="AO39" s="1" t="s">
        <v>84</v>
      </c>
      <c r="AP39" s="1" t="s">
        <v>107</v>
      </c>
      <c r="AQ39" s="1" t="s">
        <v>56</v>
      </c>
      <c r="AR39" s="1" t="s">
        <v>96</v>
      </c>
      <c r="AS39" s="1">
        <f t="shared" ref="AS39:AT39" si="75">J39 + X39</f>
        <v>561</v>
      </c>
      <c r="AT39" s="4">
        <f t="shared" si="75"/>
        <v>17</v>
      </c>
      <c r="AU39" s="4">
        <f t="shared" ref="AU39:AV39" si="76">N39 + AB39</f>
        <v>60</v>
      </c>
      <c r="AV39" s="4">
        <f t="shared" si="76"/>
        <v>14</v>
      </c>
    </row>
    <row r="40">
      <c r="A40" s="1">
        <v>39.0</v>
      </c>
      <c r="B40" s="2">
        <v>45118.0</v>
      </c>
      <c r="C40" s="3">
        <v>0.5833333333333334</v>
      </c>
      <c r="D40" s="1" t="s">
        <v>140</v>
      </c>
      <c r="E40" s="1" t="s">
        <v>141</v>
      </c>
      <c r="F40" s="1" t="s">
        <v>89</v>
      </c>
      <c r="G40" s="1" t="s">
        <v>71</v>
      </c>
      <c r="H40" s="1" t="s">
        <v>71</v>
      </c>
      <c r="I40" s="1" t="s">
        <v>91</v>
      </c>
      <c r="J40" s="1">
        <v>293.0</v>
      </c>
      <c r="K40" s="1">
        <v>7.0</v>
      </c>
      <c r="L40" s="1">
        <v>46.5</v>
      </c>
      <c r="M40" s="1">
        <v>0.0</v>
      </c>
      <c r="N40" s="1">
        <v>30.0</v>
      </c>
      <c r="O40" s="1">
        <v>12.0</v>
      </c>
      <c r="P40" s="1">
        <v>42.0</v>
      </c>
      <c r="Q40" s="1">
        <v>6.25</v>
      </c>
      <c r="R40" s="1">
        <v>5.0</v>
      </c>
      <c r="S40" s="1">
        <v>0.0</v>
      </c>
      <c r="T40" s="1">
        <v>10.0</v>
      </c>
      <c r="U40" s="1">
        <v>1.0</v>
      </c>
      <c r="V40" s="1">
        <v>0.0</v>
      </c>
      <c r="W40" s="1">
        <v>16.0</v>
      </c>
      <c r="X40" s="1">
        <v>291.0</v>
      </c>
      <c r="Y40" s="1">
        <v>5.0</v>
      </c>
      <c r="Z40" s="1">
        <v>50.0</v>
      </c>
      <c r="AA40" s="1">
        <v>3.0</v>
      </c>
      <c r="AB40" s="1">
        <v>16.0</v>
      </c>
      <c r="AC40" s="1">
        <v>9.0</v>
      </c>
      <c r="AD40" s="1">
        <v>25.0</v>
      </c>
      <c r="AE40" s="1">
        <v>5.82</v>
      </c>
      <c r="AF40" s="1">
        <v>1.0</v>
      </c>
      <c r="AG40" s="1">
        <v>4.0</v>
      </c>
      <c r="AH40" s="1">
        <v>10.0</v>
      </c>
      <c r="AI40" s="1">
        <v>0.0</v>
      </c>
      <c r="AJ40" s="1">
        <v>0.0</v>
      </c>
      <c r="AK40" s="1">
        <v>15.0</v>
      </c>
      <c r="AL40" s="1" t="s">
        <v>89</v>
      </c>
      <c r="AM40" s="1" t="s">
        <v>177</v>
      </c>
      <c r="AN40" s="1" t="s">
        <v>152</v>
      </c>
      <c r="AO40" s="1" t="s">
        <v>86</v>
      </c>
      <c r="AP40" s="1" t="s">
        <v>104</v>
      </c>
      <c r="AQ40" s="1" t="s">
        <v>94</v>
      </c>
      <c r="AR40" s="1" t="s">
        <v>68</v>
      </c>
      <c r="AS40" s="1">
        <f t="shared" ref="AS40:AT40" si="77">J40 + X40</f>
        <v>584</v>
      </c>
      <c r="AT40" s="4">
        <f t="shared" si="77"/>
        <v>12</v>
      </c>
      <c r="AU40" s="4">
        <f t="shared" ref="AU40:AV40" si="78">N40 + AB40</f>
        <v>46</v>
      </c>
      <c r="AV40" s="4">
        <f t="shared" si="78"/>
        <v>21</v>
      </c>
    </row>
    <row r="41">
      <c r="A41" s="1">
        <v>40.0</v>
      </c>
      <c r="B41" s="2">
        <v>45149.0</v>
      </c>
      <c r="C41" s="3">
        <v>0.5833333333333334</v>
      </c>
      <c r="D41" s="1" t="s">
        <v>130</v>
      </c>
      <c r="E41" s="1" t="s">
        <v>131</v>
      </c>
      <c r="F41" s="1" t="s">
        <v>50</v>
      </c>
      <c r="G41" s="1" t="s">
        <v>62</v>
      </c>
      <c r="H41" s="1" t="s">
        <v>50</v>
      </c>
      <c r="I41" s="1" t="s">
        <v>91</v>
      </c>
      <c r="J41" s="1">
        <v>179.0</v>
      </c>
      <c r="K41" s="1">
        <v>10.0</v>
      </c>
      <c r="L41" s="1">
        <v>37.2</v>
      </c>
      <c r="M41" s="1">
        <v>2.0</v>
      </c>
      <c r="N41" s="1">
        <v>26.0</v>
      </c>
      <c r="O41" s="1">
        <v>10.0</v>
      </c>
      <c r="P41" s="1">
        <v>36.0</v>
      </c>
      <c r="Q41" s="1">
        <v>4.79</v>
      </c>
      <c r="R41" s="1">
        <v>4.0</v>
      </c>
      <c r="S41" s="1">
        <v>0.0</v>
      </c>
      <c r="T41" s="1">
        <v>4.0</v>
      </c>
      <c r="U41" s="1">
        <v>0.0</v>
      </c>
      <c r="V41" s="1">
        <v>0.0</v>
      </c>
      <c r="W41" s="1">
        <v>8.0</v>
      </c>
      <c r="X41" s="1">
        <v>339.0</v>
      </c>
      <c r="Y41" s="1">
        <v>9.0</v>
      </c>
      <c r="Z41" s="1">
        <v>50.0</v>
      </c>
      <c r="AA41" s="1">
        <v>0.0</v>
      </c>
      <c r="AB41" s="1">
        <v>15.0</v>
      </c>
      <c r="AC41" s="1">
        <v>6.0</v>
      </c>
      <c r="AD41" s="1">
        <v>21.0</v>
      </c>
      <c r="AE41" s="1">
        <v>6.78</v>
      </c>
      <c r="AF41" s="1">
        <v>0.0</v>
      </c>
      <c r="AG41" s="1">
        <v>0.0</v>
      </c>
      <c r="AH41" s="1">
        <v>20.0</v>
      </c>
      <c r="AI41" s="1">
        <v>1.0</v>
      </c>
      <c r="AJ41" s="1">
        <v>0.0</v>
      </c>
      <c r="AK41" s="1">
        <v>21.0</v>
      </c>
      <c r="AL41" s="1" t="s">
        <v>50</v>
      </c>
      <c r="AM41" s="1" t="s">
        <v>179</v>
      </c>
      <c r="AN41" s="1" t="s">
        <v>180</v>
      </c>
      <c r="AO41" s="1" t="s">
        <v>76</v>
      </c>
      <c r="AP41" s="1" t="s">
        <v>67</v>
      </c>
      <c r="AQ41" s="1" t="s">
        <v>107</v>
      </c>
      <c r="AR41" s="1" t="s">
        <v>77</v>
      </c>
      <c r="AS41" s="1">
        <f t="shared" ref="AS41:AT41" si="79">J41 + X41</f>
        <v>518</v>
      </c>
      <c r="AT41" s="4">
        <f t="shared" si="79"/>
        <v>19</v>
      </c>
      <c r="AU41" s="4">
        <f t="shared" ref="AU41:AV41" si="80">N41 + AB41</f>
        <v>41</v>
      </c>
      <c r="AV41" s="4">
        <f t="shared" si="80"/>
        <v>16</v>
      </c>
    </row>
    <row r="42">
      <c r="A42" s="1">
        <v>41.0</v>
      </c>
      <c r="B42" s="2">
        <v>45180.0</v>
      </c>
      <c r="C42" s="3">
        <v>0.5833333333333334</v>
      </c>
      <c r="D42" s="1" t="s">
        <v>134</v>
      </c>
      <c r="E42" s="1" t="s">
        <v>135</v>
      </c>
      <c r="F42" s="1" t="s">
        <v>51</v>
      </c>
      <c r="G42" s="1" t="s">
        <v>81</v>
      </c>
      <c r="H42" s="1" t="s">
        <v>51</v>
      </c>
      <c r="I42" s="1" t="s">
        <v>52</v>
      </c>
      <c r="J42" s="1">
        <v>171.0</v>
      </c>
      <c r="K42" s="1">
        <v>10.0</v>
      </c>
      <c r="L42" s="1">
        <v>46.4</v>
      </c>
      <c r="M42" s="1">
        <v>7.0</v>
      </c>
      <c r="N42" s="1">
        <v>23.0</v>
      </c>
      <c r="O42" s="1">
        <v>5.0</v>
      </c>
      <c r="P42" s="1">
        <v>28.0</v>
      </c>
      <c r="Q42" s="1">
        <v>3.66</v>
      </c>
      <c r="R42" s="1">
        <v>1.0</v>
      </c>
      <c r="S42" s="1">
        <v>0.0</v>
      </c>
      <c r="T42" s="1">
        <v>3.0</v>
      </c>
      <c r="U42" s="1">
        <v>0.0</v>
      </c>
      <c r="V42" s="1">
        <v>0.0</v>
      </c>
      <c r="W42" s="1">
        <v>4.0</v>
      </c>
      <c r="X42" s="1">
        <v>172.0</v>
      </c>
      <c r="Y42" s="1">
        <v>5.0</v>
      </c>
      <c r="Z42" s="1">
        <v>23.2</v>
      </c>
      <c r="AA42" s="1">
        <v>1.0</v>
      </c>
      <c r="AB42" s="1">
        <v>21.0</v>
      </c>
      <c r="AC42" s="1">
        <v>3.0</v>
      </c>
      <c r="AD42" s="1">
        <v>24.0</v>
      </c>
      <c r="AE42" s="1">
        <v>7.37</v>
      </c>
      <c r="AF42" s="1">
        <v>0.0</v>
      </c>
      <c r="AG42" s="1">
        <v>0.0</v>
      </c>
      <c r="AH42" s="1">
        <v>2.0</v>
      </c>
      <c r="AI42" s="1">
        <v>0.0</v>
      </c>
      <c r="AJ42" s="1">
        <v>0.0</v>
      </c>
      <c r="AK42" s="1">
        <v>2.0</v>
      </c>
      <c r="AL42" s="1" t="s">
        <v>51</v>
      </c>
      <c r="AM42" s="1" t="s">
        <v>121</v>
      </c>
      <c r="AN42" s="1" t="s">
        <v>181</v>
      </c>
      <c r="AO42" s="1" t="s">
        <v>65</v>
      </c>
      <c r="AP42" s="1" t="s">
        <v>75</v>
      </c>
      <c r="AQ42" s="1" t="s">
        <v>95</v>
      </c>
      <c r="AR42" s="1" t="s">
        <v>58</v>
      </c>
      <c r="AS42" s="1">
        <f t="shared" ref="AS42:AT42" si="81">J42 + X42</f>
        <v>343</v>
      </c>
      <c r="AT42" s="4">
        <f t="shared" si="81"/>
        <v>15</v>
      </c>
      <c r="AU42" s="4">
        <f t="shared" ref="AU42:AV42" si="82">N42 + AB42</f>
        <v>44</v>
      </c>
      <c r="AV42" s="4">
        <f t="shared" si="82"/>
        <v>8</v>
      </c>
    </row>
    <row r="43">
      <c r="A43" s="1">
        <v>42.0</v>
      </c>
      <c r="B43" s="5">
        <v>45210.0</v>
      </c>
      <c r="C43" s="3">
        <v>0.4375</v>
      </c>
      <c r="D43" s="1" t="s">
        <v>48</v>
      </c>
      <c r="E43" s="1" t="s">
        <v>49</v>
      </c>
      <c r="F43" s="1" t="s">
        <v>71</v>
      </c>
      <c r="G43" s="1" t="s">
        <v>80</v>
      </c>
      <c r="H43" s="1" t="s">
        <v>71</v>
      </c>
      <c r="I43" s="1" t="s">
        <v>91</v>
      </c>
      <c r="J43" s="1">
        <v>244.0</v>
      </c>
      <c r="K43" s="1">
        <v>10.0</v>
      </c>
      <c r="L43" s="1">
        <v>50.0</v>
      </c>
      <c r="M43" s="1">
        <v>2.0</v>
      </c>
      <c r="N43" s="1">
        <v>20.0</v>
      </c>
      <c r="O43" s="1">
        <v>6.0</v>
      </c>
      <c r="P43" s="1">
        <v>26.0</v>
      </c>
      <c r="Q43" s="1">
        <v>4.88</v>
      </c>
      <c r="R43" s="1">
        <v>3.0</v>
      </c>
      <c r="S43" s="1">
        <v>0.0</v>
      </c>
      <c r="T43" s="1">
        <v>6.0</v>
      </c>
      <c r="U43" s="1">
        <v>0.0</v>
      </c>
      <c r="V43" s="1">
        <v>0.0</v>
      </c>
      <c r="W43" s="1">
        <v>9.0</v>
      </c>
      <c r="X43" s="1">
        <v>247.0</v>
      </c>
      <c r="Y43" s="1">
        <v>5.0</v>
      </c>
      <c r="Z43" s="1">
        <v>47.3</v>
      </c>
      <c r="AA43" s="1">
        <v>2.0</v>
      </c>
      <c r="AB43" s="1">
        <v>15.0</v>
      </c>
      <c r="AC43" s="1">
        <v>9.0</v>
      </c>
      <c r="AD43" s="1">
        <v>24.0</v>
      </c>
      <c r="AE43" s="1" t="s">
        <v>182</v>
      </c>
      <c r="AF43" s="1">
        <v>1.0</v>
      </c>
      <c r="AG43" s="1">
        <v>4.0</v>
      </c>
      <c r="AH43" s="1">
        <v>10.0</v>
      </c>
      <c r="AI43" s="1">
        <v>0.0</v>
      </c>
      <c r="AJ43" s="1">
        <v>0.0</v>
      </c>
      <c r="AK43" s="1">
        <v>15.0</v>
      </c>
      <c r="AL43" s="1" t="s">
        <v>80</v>
      </c>
      <c r="AM43" s="1" t="s">
        <v>121</v>
      </c>
      <c r="AN43" s="1" t="s">
        <v>171</v>
      </c>
      <c r="AO43" s="1" t="s">
        <v>56</v>
      </c>
      <c r="AP43" s="1" t="s">
        <v>66</v>
      </c>
      <c r="AQ43" s="1" t="s">
        <v>55</v>
      </c>
      <c r="AR43" s="1" t="s">
        <v>68</v>
      </c>
      <c r="AS43" s="1">
        <f t="shared" ref="AS43:AT43" si="83">J43 + X43</f>
        <v>491</v>
      </c>
      <c r="AT43" s="4">
        <f t="shared" si="83"/>
        <v>15</v>
      </c>
      <c r="AU43" s="4">
        <f t="shared" ref="AU43:AV43" si="84">N43 + AB43</f>
        <v>35</v>
      </c>
      <c r="AV43" s="4">
        <f t="shared" si="84"/>
        <v>15</v>
      </c>
    </row>
    <row r="44">
      <c r="A44" s="1">
        <v>43.0</v>
      </c>
      <c r="B44" s="5">
        <v>45241.0</v>
      </c>
      <c r="C44" s="3">
        <v>0.5833333333333334</v>
      </c>
      <c r="D44" s="1" t="s">
        <v>130</v>
      </c>
      <c r="E44" s="1" t="s">
        <v>131</v>
      </c>
      <c r="F44" s="1" t="s">
        <v>89</v>
      </c>
      <c r="G44" s="1" t="s">
        <v>72</v>
      </c>
      <c r="H44" s="1" t="s">
        <v>89</v>
      </c>
      <c r="I44" s="1" t="s">
        <v>52</v>
      </c>
      <c r="J44" s="1">
        <v>306.0</v>
      </c>
      <c r="K44" s="1">
        <v>8.0</v>
      </c>
      <c r="L44" s="1">
        <v>50.0</v>
      </c>
      <c r="M44" s="1">
        <v>1.0</v>
      </c>
      <c r="N44" s="1">
        <v>29.0</v>
      </c>
      <c r="O44" s="1">
        <v>10.0</v>
      </c>
      <c r="P44" s="1">
        <v>39.0</v>
      </c>
      <c r="Q44" s="1">
        <v>6.12</v>
      </c>
      <c r="R44" s="1">
        <v>10.0</v>
      </c>
      <c r="S44" s="1">
        <v>0.0</v>
      </c>
      <c r="T44" s="1">
        <v>12.0</v>
      </c>
      <c r="U44" s="1">
        <v>2.0</v>
      </c>
      <c r="V44" s="1">
        <v>0.0</v>
      </c>
      <c r="W44" s="1">
        <v>24.0</v>
      </c>
      <c r="X44" s="1">
        <v>307.0</v>
      </c>
      <c r="Y44" s="1">
        <v>2.0</v>
      </c>
      <c r="Z44" s="1">
        <v>44.4</v>
      </c>
      <c r="AA44" s="1">
        <v>1.0</v>
      </c>
      <c r="AB44" s="1">
        <v>27.0</v>
      </c>
      <c r="AC44" s="1">
        <v>6.0</v>
      </c>
      <c r="AD44" s="1">
        <v>33.0</v>
      </c>
      <c r="AE44" s="1">
        <v>6.87</v>
      </c>
      <c r="AF44" s="1">
        <v>0.0</v>
      </c>
      <c r="AG44" s="1">
        <v>0.0</v>
      </c>
      <c r="AH44" s="1">
        <v>4.0</v>
      </c>
      <c r="AI44" s="1">
        <v>0.0</v>
      </c>
      <c r="AJ44" s="1">
        <v>0.0</v>
      </c>
      <c r="AK44" s="1">
        <v>4.0</v>
      </c>
      <c r="AL44" s="1" t="s">
        <v>89</v>
      </c>
      <c r="AM44" s="1" t="s">
        <v>105</v>
      </c>
      <c r="AN44" s="1" t="s">
        <v>183</v>
      </c>
      <c r="AO44" s="1" t="s">
        <v>76</v>
      </c>
      <c r="AP44" s="1" t="s">
        <v>107</v>
      </c>
      <c r="AQ44" s="1" t="s">
        <v>84</v>
      </c>
      <c r="AR44" s="1" t="s">
        <v>77</v>
      </c>
      <c r="AS44" s="1">
        <f t="shared" ref="AS44:AT44" si="85">J44 + X44</f>
        <v>613</v>
      </c>
      <c r="AT44" s="4">
        <f t="shared" si="85"/>
        <v>10</v>
      </c>
      <c r="AU44" s="4">
        <f t="shared" ref="AU44:AV44" si="86">N44 + AB44</f>
        <v>56</v>
      </c>
      <c r="AV44" s="4">
        <f t="shared" si="86"/>
        <v>16</v>
      </c>
    </row>
    <row r="45">
      <c r="A45" s="1">
        <v>44.0</v>
      </c>
      <c r="B45" s="5">
        <v>45241.0</v>
      </c>
      <c r="C45" s="3">
        <v>0.5833333333333334</v>
      </c>
      <c r="D45" s="1" t="s">
        <v>161</v>
      </c>
      <c r="E45" s="1" t="s">
        <v>60</v>
      </c>
      <c r="F45" s="1" t="s">
        <v>50</v>
      </c>
      <c r="G45" s="1" t="s">
        <v>61</v>
      </c>
      <c r="H45" s="1" t="s">
        <v>50</v>
      </c>
      <c r="I45" s="1" t="s">
        <v>91</v>
      </c>
      <c r="J45" s="1">
        <v>244.0</v>
      </c>
      <c r="K45" s="1">
        <v>10.0</v>
      </c>
      <c r="L45" s="1">
        <v>50.0</v>
      </c>
      <c r="M45" s="1">
        <v>1.0</v>
      </c>
      <c r="N45" s="1">
        <v>27.0</v>
      </c>
      <c r="O45" s="1">
        <v>6.0</v>
      </c>
      <c r="P45" s="1">
        <v>33.0</v>
      </c>
      <c r="Q45" s="1">
        <v>6.74</v>
      </c>
      <c r="R45" s="1">
        <v>2.0</v>
      </c>
      <c r="S45" s="1">
        <v>5.0</v>
      </c>
      <c r="T45" s="1">
        <v>12.0</v>
      </c>
      <c r="U45" s="1">
        <v>0.0</v>
      </c>
      <c r="V45" s="1">
        <v>0.0</v>
      </c>
      <c r="W45" s="1">
        <v>19.0</v>
      </c>
      <c r="X45" s="1">
        <v>337.0</v>
      </c>
      <c r="Y45" s="1">
        <v>9.0</v>
      </c>
      <c r="Z45" s="1">
        <v>43.3</v>
      </c>
      <c r="AA45" s="1">
        <v>0.0</v>
      </c>
      <c r="AB45" s="1">
        <v>35.0</v>
      </c>
      <c r="AC45" s="1">
        <v>8.0</v>
      </c>
      <c r="AD45" s="1">
        <v>43.0</v>
      </c>
      <c r="AE45" s="1">
        <v>5.6</v>
      </c>
      <c r="AF45" s="1">
        <v>1.0</v>
      </c>
      <c r="AG45" s="1">
        <v>0.0</v>
      </c>
      <c r="AH45" s="1">
        <v>5.0</v>
      </c>
      <c r="AI45" s="1">
        <v>0.0</v>
      </c>
      <c r="AJ45" s="1">
        <v>0.0</v>
      </c>
      <c r="AK45" s="1">
        <v>6.0</v>
      </c>
      <c r="AL45" s="1" t="s">
        <v>50</v>
      </c>
      <c r="AM45" s="1" t="s">
        <v>184</v>
      </c>
      <c r="AN45" s="1" t="s">
        <v>185</v>
      </c>
      <c r="AO45" s="1" t="s">
        <v>57</v>
      </c>
      <c r="AP45" s="1" t="s">
        <v>67</v>
      </c>
      <c r="AQ45" s="1" t="s">
        <v>85</v>
      </c>
      <c r="AR45" s="1" t="s">
        <v>58</v>
      </c>
      <c r="AS45" s="1">
        <f t="shared" ref="AS45:AT45" si="87">J45 + X45</f>
        <v>581</v>
      </c>
      <c r="AT45" s="4">
        <f t="shared" si="87"/>
        <v>19</v>
      </c>
      <c r="AU45" s="4">
        <f t="shared" ref="AU45:AV45" si="88">N45 + AB45</f>
        <v>62</v>
      </c>
      <c r="AV45" s="4">
        <f t="shared" si="88"/>
        <v>14</v>
      </c>
    </row>
    <row r="46">
      <c r="A46" s="1">
        <v>45.0</v>
      </c>
      <c r="B46" s="5">
        <v>45271.0</v>
      </c>
      <c r="C46" s="3">
        <v>0.5833333333333334</v>
      </c>
      <c r="D46" s="1" t="s">
        <v>134</v>
      </c>
      <c r="E46" s="1" t="s">
        <v>135</v>
      </c>
      <c r="F46" s="1" t="s">
        <v>90</v>
      </c>
      <c r="G46" s="1" t="s">
        <v>62</v>
      </c>
      <c r="H46" s="1" t="s">
        <v>90</v>
      </c>
      <c r="I46" s="1" t="s">
        <v>91</v>
      </c>
      <c r="J46" s="1">
        <v>410.0</v>
      </c>
      <c r="K46" s="1">
        <v>4.0</v>
      </c>
      <c r="L46" s="1">
        <v>50.0</v>
      </c>
      <c r="M46" s="1">
        <v>3.0</v>
      </c>
      <c r="N46" s="1">
        <v>37.0</v>
      </c>
      <c r="O46" s="1">
        <v>16.0</v>
      </c>
      <c r="P46" s="1">
        <v>53.0</v>
      </c>
      <c r="Q46" s="1">
        <v>8.2</v>
      </c>
      <c r="R46" s="1">
        <v>9.0</v>
      </c>
      <c r="S46" s="1">
        <v>0.0</v>
      </c>
      <c r="T46" s="1">
        <v>4.0</v>
      </c>
      <c r="U46" s="1">
        <v>0.0</v>
      </c>
      <c r="V46" s="1">
        <v>0.0</v>
      </c>
      <c r="W46" s="1">
        <v>13.0</v>
      </c>
      <c r="X46" s="1">
        <v>250.0</v>
      </c>
      <c r="Y46" s="1">
        <v>10.0</v>
      </c>
      <c r="Z46" s="1">
        <v>47.5</v>
      </c>
      <c r="AA46" s="1">
        <v>0.0</v>
      </c>
      <c r="AB46" s="1">
        <v>19.0</v>
      </c>
      <c r="AC46" s="1">
        <v>9.0</v>
      </c>
      <c r="AD46" s="1">
        <v>28.0</v>
      </c>
      <c r="AE46" s="1">
        <v>5.22</v>
      </c>
      <c r="AF46" s="1">
        <v>1.0</v>
      </c>
      <c r="AG46" s="1">
        <v>0.0</v>
      </c>
      <c r="AH46" s="1">
        <v>13.0</v>
      </c>
      <c r="AI46" s="1">
        <v>1.0</v>
      </c>
      <c r="AJ46" s="1">
        <v>0.0</v>
      </c>
      <c r="AK46" s="1">
        <v>15.0</v>
      </c>
      <c r="AL46" s="1" t="s">
        <v>90</v>
      </c>
      <c r="AM46" s="1" t="s">
        <v>179</v>
      </c>
      <c r="AN46" s="1" t="s">
        <v>186</v>
      </c>
      <c r="AO46" s="1" t="s">
        <v>86</v>
      </c>
      <c r="AP46" s="1" t="s">
        <v>94</v>
      </c>
      <c r="AQ46" s="1" t="s">
        <v>75</v>
      </c>
      <c r="AR46" s="1" t="s">
        <v>96</v>
      </c>
      <c r="AS46" s="1">
        <f t="shared" ref="AS46:AT46" si="89">J46 + X46</f>
        <v>660</v>
      </c>
      <c r="AT46" s="4">
        <f t="shared" si="89"/>
        <v>14</v>
      </c>
      <c r="AU46" s="4">
        <f t="shared" ref="AU46:AV46" si="90">N46 + AB46</f>
        <v>56</v>
      </c>
      <c r="AV46" s="4">
        <f t="shared" si="90"/>
        <v>25</v>
      </c>
    </row>
    <row r="47">
      <c r="A47" s="1">
        <v>46.0</v>
      </c>
      <c r="B47" s="1" t="s">
        <v>187</v>
      </c>
      <c r="C47" s="3">
        <v>0.5833333333333334</v>
      </c>
      <c r="D47" s="1" t="s">
        <v>140</v>
      </c>
      <c r="E47" s="1" t="s">
        <v>141</v>
      </c>
      <c r="F47" s="1" t="s">
        <v>90</v>
      </c>
      <c r="G47" s="1" t="s">
        <v>51</v>
      </c>
      <c r="H47" s="1" t="s">
        <v>90</v>
      </c>
      <c r="I47" s="1" t="s">
        <v>91</v>
      </c>
      <c r="J47" s="1">
        <v>397.0</v>
      </c>
      <c r="K47" s="1">
        <v>4.0</v>
      </c>
      <c r="L47" s="1">
        <v>50.0</v>
      </c>
      <c r="M47" s="1">
        <v>1.0</v>
      </c>
      <c r="N47" s="1">
        <v>30.0</v>
      </c>
      <c r="O47" s="1">
        <v>19.0</v>
      </c>
      <c r="P47" s="1">
        <v>49.0</v>
      </c>
      <c r="Q47" s="1">
        <v>7.94</v>
      </c>
      <c r="R47" s="1">
        <v>5.0</v>
      </c>
      <c r="S47" s="1">
        <v>4.0</v>
      </c>
      <c r="T47" s="1">
        <v>19.0</v>
      </c>
      <c r="U47" s="1">
        <v>1.0</v>
      </c>
      <c r="V47" s="1">
        <v>0.0</v>
      </c>
      <c r="W47" s="1">
        <v>29.0</v>
      </c>
      <c r="X47" s="1">
        <v>327.0</v>
      </c>
      <c r="Y47" s="1">
        <v>10.0</v>
      </c>
      <c r="Z47" s="1">
        <v>48.5</v>
      </c>
      <c r="AA47" s="1">
        <v>1.0</v>
      </c>
      <c r="AB47" s="1">
        <v>29.0</v>
      </c>
      <c r="AC47" s="1">
        <v>11.0</v>
      </c>
      <c r="AD47" s="1">
        <v>40.0</v>
      </c>
      <c r="AE47" s="1">
        <v>6.69</v>
      </c>
      <c r="AF47" s="1">
        <v>1.0</v>
      </c>
      <c r="AG47" s="1">
        <v>1.0</v>
      </c>
      <c r="AH47" s="1">
        <v>6.0</v>
      </c>
      <c r="AI47" s="1">
        <v>0.0</v>
      </c>
      <c r="AJ47" s="1">
        <v>0.0</v>
      </c>
      <c r="AK47" s="1">
        <v>8.0</v>
      </c>
      <c r="AL47" s="1" t="s">
        <v>90</v>
      </c>
      <c r="AM47" s="1" t="s">
        <v>188</v>
      </c>
      <c r="AN47" s="1" t="s">
        <v>146</v>
      </c>
      <c r="AO47" s="1" t="s">
        <v>84</v>
      </c>
      <c r="AP47" s="1" t="s">
        <v>67</v>
      </c>
      <c r="AQ47" s="1" t="s">
        <v>75</v>
      </c>
      <c r="AR47" s="1" t="s">
        <v>77</v>
      </c>
      <c r="AS47" s="1">
        <f t="shared" ref="AS47:AT47" si="91">J47 + X47</f>
        <v>724</v>
      </c>
      <c r="AT47" s="4">
        <f t="shared" si="91"/>
        <v>14</v>
      </c>
      <c r="AU47" s="4">
        <f t="shared" ref="AU47:AV47" si="92">N47 + AB47</f>
        <v>59</v>
      </c>
      <c r="AV47" s="4">
        <f t="shared" si="92"/>
        <v>30</v>
      </c>
    </row>
    <row r="48">
      <c r="A48" s="1">
        <v>47.0</v>
      </c>
      <c r="B48" s="1" t="s">
        <v>189</v>
      </c>
      <c r="C48" s="3">
        <v>0.5833333333333334</v>
      </c>
      <c r="D48" s="1" t="s">
        <v>161</v>
      </c>
      <c r="E48" s="1" t="s">
        <v>60</v>
      </c>
      <c r="F48" s="1" t="s">
        <v>89</v>
      </c>
      <c r="G48" s="1" t="s">
        <v>80</v>
      </c>
      <c r="H48" s="1" t="s">
        <v>80</v>
      </c>
      <c r="I48" s="1" t="s">
        <v>91</v>
      </c>
      <c r="J48" s="1">
        <v>215.0</v>
      </c>
      <c r="K48" s="1">
        <v>7.0</v>
      </c>
      <c r="L48" s="1">
        <v>47.2</v>
      </c>
      <c r="M48" s="1">
        <v>4.0</v>
      </c>
      <c r="N48" s="1">
        <v>21.0</v>
      </c>
      <c r="O48" s="1">
        <v>6.0</v>
      </c>
      <c r="P48" s="1">
        <v>27.0</v>
      </c>
      <c r="Q48" s="1">
        <v>4.54</v>
      </c>
      <c r="R48" s="1">
        <v>4.0</v>
      </c>
      <c r="S48" s="1">
        <v>0.0</v>
      </c>
      <c r="T48" s="1">
        <v>7.0</v>
      </c>
      <c r="U48" s="1">
        <v>0.0</v>
      </c>
      <c r="V48" s="1">
        <v>0.0</v>
      </c>
      <c r="W48" s="1">
        <v>11.0</v>
      </c>
      <c r="X48" s="1">
        <v>212.0</v>
      </c>
      <c r="Y48" s="1">
        <v>10.0</v>
      </c>
      <c r="Z48" s="1">
        <v>49.4</v>
      </c>
      <c r="AA48" s="1">
        <v>1.0</v>
      </c>
      <c r="AB48" s="1">
        <v>16.0</v>
      </c>
      <c r="AC48" s="1">
        <v>8.0</v>
      </c>
      <c r="AD48" s="1">
        <v>24.0</v>
      </c>
      <c r="AE48" s="1">
        <v>4.26</v>
      </c>
      <c r="AF48" s="1">
        <v>3.0</v>
      </c>
      <c r="AG48" s="1">
        <v>0.0</v>
      </c>
      <c r="AH48" s="1">
        <v>12.0</v>
      </c>
      <c r="AI48" s="1">
        <v>2.0</v>
      </c>
      <c r="AJ48" s="1">
        <v>0.0</v>
      </c>
      <c r="AK48" s="1">
        <v>17.0</v>
      </c>
      <c r="AL48" s="1" t="s">
        <v>89</v>
      </c>
      <c r="AM48" s="1" t="s">
        <v>177</v>
      </c>
      <c r="AN48" s="1" t="s">
        <v>160</v>
      </c>
      <c r="AO48" s="1" t="s">
        <v>56</v>
      </c>
      <c r="AP48" s="1" t="s">
        <v>95</v>
      </c>
      <c r="AQ48" s="1" t="s">
        <v>94</v>
      </c>
      <c r="AR48" s="1" t="s">
        <v>58</v>
      </c>
      <c r="AS48" s="1">
        <f t="shared" ref="AS48:AT48" si="93">J48 + X48</f>
        <v>427</v>
      </c>
      <c r="AT48" s="4">
        <f t="shared" si="93"/>
        <v>17</v>
      </c>
      <c r="AU48" s="4">
        <f t="shared" ref="AU48:AV48" si="94">N48 + AB48</f>
        <v>37</v>
      </c>
      <c r="AV48" s="4">
        <f t="shared" si="94"/>
        <v>14</v>
      </c>
    </row>
    <row r="49">
      <c r="A49" s="1">
        <v>48.0</v>
      </c>
      <c r="B49" s="1" t="s">
        <v>190</v>
      </c>
      <c r="C49" s="3">
        <v>0.5833333333333334</v>
      </c>
      <c r="D49" s="1" t="s">
        <v>48</v>
      </c>
      <c r="E49" s="1" t="s">
        <v>49</v>
      </c>
      <c r="F49" s="1" t="s">
        <v>90</v>
      </c>
      <c r="G49" s="1" t="s">
        <v>89</v>
      </c>
      <c r="H49" s="1" t="s">
        <v>89</v>
      </c>
      <c r="I49" s="1" t="s">
        <v>52</v>
      </c>
      <c r="J49" s="1">
        <v>240.0</v>
      </c>
      <c r="K49" s="1">
        <v>10.0</v>
      </c>
      <c r="L49" s="1">
        <v>50.0</v>
      </c>
      <c r="M49" s="1">
        <v>3.0</v>
      </c>
      <c r="N49" s="1">
        <v>13.0</v>
      </c>
      <c r="O49" s="1">
        <v>3.0</v>
      </c>
      <c r="P49" s="1">
        <v>16.0</v>
      </c>
      <c r="Q49" s="1">
        <v>4.8</v>
      </c>
      <c r="R49" s="1">
        <v>2.0</v>
      </c>
      <c r="S49" s="1">
        <v>5.0</v>
      </c>
      <c r="T49" s="1">
        <v>11.0</v>
      </c>
      <c r="U49" s="1">
        <v>0.0</v>
      </c>
      <c r="V49" s="1">
        <v>0.0</v>
      </c>
      <c r="W49" s="1">
        <v>18.0</v>
      </c>
      <c r="X49" s="1">
        <v>241.0</v>
      </c>
      <c r="Y49" s="1">
        <v>4.0</v>
      </c>
      <c r="Z49" s="1">
        <v>43.0</v>
      </c>
      <c r="AA49" s="1">
        <v>0.0</v>
      </c>
      <c r="AB49" s="1">
        <v>22.0</v>
      </c>
      <c r="AC49" s="1">
        <v>5.0</v>
      </c>
      <c r="AD49" s="1">
        <v>27.0</v>
      </c>
      <c r="AE49" s="1">
        <v>5.6</v>
      </c>
      <c r="AF49" s="1">
        <v>3.0</v>
      </c>
      <c r="AG49" s="1">
        <v>0.0</v>
      </c>
      <c r="AH49" s="1">
        <v>9.0</v>
      </c>
      <c r="AI49" s="1">
        <v>0.0</v>
      </c>
      <c r="AJ49" s="1">
        <v>0.0</v>
      </c>
      <c r="AK49" s="1">
        <v>12.0</v>
      </c>
      <c r="AL49" s="1" t="s">
        <v>89</v>
      </c>
      <c r="AM49" s="1" t="s">
        <v>73</v>
      </c>
      <c r="AN49" s="1" t="s">
        <v>160</v>
      </c>
      <c r="AO49" s="1" t="s">
        <v>84</v>
      </c>
      <c r="AP49" s="1" t="s">
        <v>95</v>
      </c>
      <c r="AQ49" s="1" t="s">
        <v>75</v>
      </c>
      <c r="AR49" s="1" t="s">
        <v>77</v>
      </c>
      <c r="AS49" s="1">
        <f t="shared" ref="AS49:AT49" si="95">J49 + X49</f>
        <v>481</v>
      </c>
      <c r="AT49" s="4">
        <f t="shared" si="95"/>
        <v>14</v>
      </c>
      <c r="AU49" s="4">
        <f t="shared" ref="AU49:AV49" si="96">N49 + AB49</f>
        <v>35</v>
      </c>
      <c r="AV49" s="4">
        <f t="shared" si="96"/>
        <v>8</v>
      </c>
    </row>
  </sheetData>
  <autoFilter ref="$A$1:$AV$49"/>
  <drawing r:id="rId1"/>
</worksheet>
</file>